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activeTab="1"/>
  </bookViews>
  <sheets>
    <sheet name="Data_Set" sheetId="1" r:id="rId1"/>
    <sheet name="QC_Data_Integrity_Dashboard" sheetId="2" r:id="rId2"/>
    <sheet name="Pivot_Tables" sheetId="4" r:id="rId3"/>
  </sheets>
  <calcPr calcId="152511"/>
  <pivotCaches>
    <pivotCache cacheId="1" r:id="rId4"/>
  </pivotCaches>
</workbook>
</file>

<file path=xl/calcChain.xml><?xml version="1.0" encoding="utf-8"?>
<calcChain xmlns="http://schemas.openxmlformats.org/spreadsheetml/2006/main">
  <c r="D17" i="4" l="1"/>
  <c r="D18" i="4"/>
  <c r="D19" i="4"/>
  <c r="D20" i="4"/>
  <c r="B9" i="2" l="1"/>
  <c r="F5" i="2"/>
  <c r="D5" i="2"/>
  <c r="B5" i="2"/>
  <c r="F9" i="2" l="1"/>
</calcChain>
</file>

<file path=xl/sharedStrings.xml><?xml version="1.0" encoding="utf-8"?>
<sst xmlns="http://schemas.openxmlformats.org/spreadsheetml/2006/main" count="1689" uniqueCount="249">
  <si>
    <t>Sample_ID</t>
  </si>
  <si>
    <t>Product</t>
  </si>
  <si>
    <t>Analyst</t>
  </si>
  <si>
    <t>Test_Type</t>
  </si>
  <si>
    <t>Test_Date</t>
  </si>
  <si>
    <t>Entry_Date</t>
  </si>
  <si>
    <t>Result_Status</t>
  </si>
  <si>
    <t>Correction_Made</t>
  </si>
  <si>
    <t>Missing_Data</t>
  </si>
  <si>
    <t>Review_Status</t>
  </si>
  <si>
    <t>Turnaround_Time</t>
  </si>
  <si>
    <t>S001</t>
  </si>
  <si>
    <t>Tablet A</t>
  </si>
  <si>
    <t>Analyst 1</t>
  </si>
  <si>
    <t>Assay</t>
  </si>
  <si>
    <t>Pass</t>
  </si>
  <si>
    <t>No</t>
  </si>
  <si>
    <t>Approved</t>
  </si>
  <si>
    <t>S002</t>
  </si>
  <si>
    <t>Tablet B</t>
  </si>
  <si>
    <t>Analyst 2</t>
  </si>
  <si>
    <t>Dissolution</t>
  </si>
  <si>
    <t>S003</t>
  </si>
  <si>
    <t>Syrup A</t>
  </si>
  <si>
    <t>Analyst 3</t>
  </si>
  <si>
    <t>Impurity</t>
  </si>
  <si>
    <t>Yes</t>
  </si>
  <si>
    <t>S004</t>
  </si>
  <si>
    <t>S005</t>
  </si>
  <si>
    <t>Capsule A</t>
  </si>
  <si>
    <t>Analyst 4</t>
  </si>
  <si>
    <t>Fail</t>
  </si>
  <si>
    <t>Pending</t>
  </si>
  <si>
    <t>S006</t>
  </si>
  <si>
    <t>S007</t>
  </si>
  <si>
    <t>S008</t>
  </si>
  <si>
    <t>S009</t>
  </si>
  <si>
    <t>S010</t>
  </si>
  <si>
    <t>Rejected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</si>
  <si>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</si>
  <si>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</si>
  <si>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</si>
  <si>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</si>
  <si>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</si>
  <si>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</si>
  <si>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</si>
  <si>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</si>
  <si>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</si>
  <si>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</si>
  <si>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</si>
  <si>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</si>
  <si>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</si>
  <si>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</si>
  <si>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</si>
  <si>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</si>
  <si>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</si>
  <si>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</si>
  <si>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</si>
  <si>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</si>
  <si>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</si>
  <si>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</si>
  <si>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</si>
  <si>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</si>
  <si>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</si>
  <si>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</si>
  <si>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</si>
  <si>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</si>
  <si>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</si>
  <si>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</si>
  <si>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Tablet C</t>
  </si>
  <si>
    <t>Injection A</t>
  </si>
  <si>
    <t>Syrup B</t>
  </si>
  <si>
    <t>Capsule B</t>
  </si>
  <si>
    <t>Injection B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</si>
  <si>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</si>
  <si>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</si>
  <si>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</si>
  <si>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</si>
  <si>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</si>
  <si>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</si>
  <si>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</si>
  <si>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</si>
  <si>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</si>
  <si>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</si>
  <si>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</si>
  <si>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</si>
  <si>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</si>
  <si>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</si>
  <si>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</si>
  <si>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</si>
  <si>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</si>
  <si>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</si>
  <si>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</si>
  <si>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</si>
  <si>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</si>
  <si>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</si>
  <si>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</si>
  <si>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</si>
  <si>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</si>
  <si>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</si>
  <si>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</si>
  <si>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</si>
  <si>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</si>
  <si>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</si>
  <si>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</si>
  <si>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</si>
  <si>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</si>
  <si>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</si>
  <si>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</si>
  <si>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</si>
  <si>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</si>
  <si>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</si>
  <si>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</si>
  <si>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</si>
  <si>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</si>
  <si>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</si>
  <si>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</si>
  <si>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</si>
  <si>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</si>
  <si>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</si>
  <si>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</si>
  <si>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</si>
  <si>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</si>
  <si>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</si>
  <si>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</si>
  <si>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</si>
  <si>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</si>
  <si>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</si>
  <si>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</si>
  <si>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</si>
  <si>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</si>
  <si>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</si>
  <si>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</si>
  <si>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</si>
  <si>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</si>
  <si>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</si>
  <si>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</si>
  <si>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</si>
  <si>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</si>
  <si>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</si>
  <si>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</si>
  <si>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</si>
  <si>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</si>
  <si>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</si>
  <si>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</si>
  <si>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</si>
  <si>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</si>
  <si>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</si>
  <si>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</si>
  <si>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</si>
  <si>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</si>
  <si>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</si>
  <si>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</si>
  <si>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</si>
  <si>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</si>
  <si>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</si>
  <si>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</si>
  <si>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</si>
  <si>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</si>
  <si>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</si>
  <si>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</si>
  <si>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</si>
  <si>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</si>
  <si>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</si>
  <si>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</si>
  <si>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</si>
  <si>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</si>
  <si>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</si>
  <si>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</si>
  <si>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</si>
  <si>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</si>
  <si>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</si>
  <si>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</si>
  <si>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</si>
  <si>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</si>
  <si>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</si>
  <si>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</si>
  <si>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</si>
  <si>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</si>
  <si>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</si>
  <si>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</si>
  <si>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</si>
  <si>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</si>
  <si>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</si>
  <si>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</si>
  <si>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</si>
  <si>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</si>
  <si>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</si>
  <si>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</si>
  <si>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</si>
  <si>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</si>
  <si>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</si>
  <si>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</si>
  <si>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</si>
  <si>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</si>
  <si>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</si>
  <si>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</si>
  <si>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</si>
  <si>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</si>
  <si>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</si>
  <si>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</si>
  <si>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</si>
  <si>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</si>
  <si>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</si>
  <si>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</si>
  <si>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</si>
  <si>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</si>
  <si>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</si>
  <si>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</si>
  <si>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</si>
  <si>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</si>
  <si>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</si>
  <si>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</si>
  <si>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</si>
  <si>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</si>
  <si>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</si>
  <si>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</si>
  <si>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</si>
  <si>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</si>
  <si>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</si>
  <si>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</si>
  <si>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</si>
  <si>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</si>
  <si>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</si>
  <si>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</si>
  <si>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</si>
  <si>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</si>
  <si>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</si>
  <si>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</si>
  <si>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</si>
  <si>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</si>
  <si>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</si>
  <si>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</si>
  <si>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</si>
  <si>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Pharma QC Data Integrity Dashboard (ALCOA+ Compliance Monitoring)</t>
  </si>
  <si>
    <t>Total Samples Tested</t>
  </si>
  <si>
    <t>Data Integrity Issues</t>
  </si>
  <si>
    <t>Missing Data Records</t>
  </si>
  <si>
    <t>Average Turnaround Time (Days)</t>
  </si>
  <si>
    <t>Data Integrity Risk Rate</t>
  </si>
  <si>
    <t>Row Labels</t>
  </si>
  <si>
    <t>Grand Total</t>
  </si>
  <si>
    <t>Count of Missing_Data</t>
  </si>
  <si>
    <t>Count of Correction_Made</t>
  </si>
  <si>
    <t>Count of Sample_ID</t>
  </si>
  <si>
    <t>Missing Data</t>
  </si>
  <si>
    <t>Corrections Made</t>
  </si>
  <si>
    <t>Corrections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</si>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</sst>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rgb="FF006699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28"/>
      <color rgb="FFFF6600"/>
      <name val="Calibri"/>
      <family val="2"/>
      <scheme val="minor"/>
    </font>
    <font>
      <b/>
      <sz val="28"/>
      <color rgb="FF00994C"/>
      <name val="Calibri"/>
      <family val="2"/>
      <scheme val="minor"/>
    </font>
    <font>
      <b/>
      <sz val="28"/>
      <color rgb="FFDC3545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DCEB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2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/>
    <xf numFmtId="0" fontId="0" fillId="0" borderId="0" xfId="0" applyNumberFormat="1" applyFont="1"/>
    <xf numFmtId="0" fontId="0" fillId="5" borderId="0" xfId="0" applyFill="1" applyAlignment="1">
      <alignment horizontal="centerContinuous"/>
    </xf>
    <xf numFmtId="0" fontId="2" fillId="6" borderId="1" xfId="0" applyFont="1" applyFill="1" applyBorder="1"/>
    <xf numFmtId="0" fontId="10" fillId="5" borderId="0" xfId="0" applyFont="1" applyFill="1"/>
    <xf numFmtId="0" fontId="0" fillId="0" borderId="2" xfId="0" applyBorder="1"/>
    <xf numFmtId="0" fontId="0" fillId="5" borderId="0" xfId="0" applyFill="1" applyBorder="1" applyAlignment="1">
      <alignment horizontal="centerContinuous"/>
    </xf>
    <xf numFmtId="0" fontId="0" fillId="7" borderId="0" xfId="0" applyFill="1"/>
    <xf numFmtId="0" fontId="0" fillId="0" borderId="0" xfId="0" applyFill="1"/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8" fillId="0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9" fontId="9" fillId="0" borderId="3" xfId="1" applyFont="1" applyFill="1" applyBorder="1" applyAlignment="1">
      <alignment horizontal="center" vertical="center"/>
    </xf>
    <xf numFmtId="9" fontId="9" fillId="0" borderId="4" xfId="1" applyFont="1" applyFill="1" applyBorder="1" applyAlignment="1">
      <alignment horizontal="center" vertical="center"/>
    </xf>
    <xf numFmtId="9" fontId="9" fillId="0" borderId="5" xfId="1" applyFont="1" applyFill="1" applyBorder="1" applyAlignment="1">
      <alignment horizontal="center" vertical="center"/>
    </xf>
    <xf numFmtId="9" fontId="9" fillId="0" borderId="6" xfId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border outline="0">
        <top style="thin">
          <color rgb="FFC8C8C8"/>
        </top>
      </border>
    </dxf>
    <dxf>
      <border outline="0">
        <bottom style="thin">
          <color rgb="FFC8C8C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9D9D9"/>
        </patternFill>
      </fill>
      <border diagonalUp="0" diagonalDown="0" outline="0">
        <left style="thin">
          <color rgb="FFC8C8C8"/>
        </left>
        <right style="thin">
          <color rgb="FFC8C8C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Medium9"/>
  <colors>
    <mruColors>
      <color rgb="FFEAEAEA"/>
      <color rgb="FFD9D9D9"/>
      <color rgb="FFF5F5F5"/>
      <color rgb="FFFAA306"/>
      <color rgb="FFFFC000"/>
      <color rgb="FF404040"/>
      <color rgb="FF5B9BD5"/>
      <color rgb="FFD9534F"/>
      <color rgb="FFC00000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integrity dashboard.xlsx]Pivot_Tables!PivotTable2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D9534F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D9534F"/>
                </a:solidFill>
                <a:latin typeface="+mn-lt"/>
              </a:rPr>
              <a:t>Missing</a:t>
            </a:r>
            <a:r>
              <a:rPr lang="en-US" sz="1400" b="1" baseline="0">
                <a:solidFill>
                  <a:srgbClr val="D9534F"/>
                </a:solidFill>
                <a:latin typeface="+mn-lt"/>
              </a:rPr>
              <a:t> Data Entries by Analyst</a:t>
            </a:r>
            <a:endParaRPr lang="en-US" sz="1400" b="1">
              <a:solidFill>
                <a:srgbClr val="D9534F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6234394058406932"/>
          <c:y val="0.1488427582915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D9534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9534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53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Pivot_Tables!$A$4:$A$8</c:f>
              <c:strCache>
                <c:ptCount val="4"/>
                <c:pt idx="0">
                  <c:v>Analyst 1</c:v>
                </c:pt>
                <c:pt idx="1">
                  <c:v>Analyst 2</c:v>
                </c:pt>
                <c:pt idx="2">
                  <c:v>Analyst 3</c:v>
                </c:pt>
                <c:pt idx="3">
                  <c:v>Analyst 4</c:v>
                </c:pt>
              </c:strCache>
            </c:strRef>
          </c:cat>
          <c:val>
            <c:numRef>
              <c:f>Pivot_Tables!$B$4:$B$8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16</c:v>
                </c:pt>
                <c:pt idx="3">
                  <c:v>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3479104"/>
        <c:axId val="953474752"/>
      </c:barChart>
      <c:catAx>
        <c:axId val="953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74752"/>
        <c:crosses val="autoZero"/>
        <c:auto val="1"/>
        <c:lblAlgn val="ctr"/>
        <c:lblOffset val="100"/>
        <c:noMultiLvlLbl val="0"/>
      </c:catAx>
      <c:valAx>
        <c:axId val="95347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7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404040"/>
                </a:solidFill>
              </a:rPr>
              <a:t>Data Corrections</a:t>
            </a:r>
            <a:r>
              <a:rPr lang="en-IN" b="1" baseline="0">
                <a:solidFill>
                  <a:srgbClr val="404040"/>
                </a:solidFill>
              </a:rPr>
              <a:t> by Analyst</a:t>
            </a:r>
            <a:endParaRPr lang="en-IN" b="1">
              <a:solidFill>
                <a:srgbClr val="404040"/>
              </a:solidFill>
            </a:endParaRPr>
          </a:p>
        </c:rich>
      </c:tx>
      <c:layout>
        <c:manualLayout>
          <c:xMode val="edge"/>
          <c:yMode val="edge"/>
          <c:x val="0.37936257967754028"/>
          <c:y val="0.15350783854720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Analyst 1</c:v>
              </c:pt>
              <c:pt idx="1">
                <c:v>Analyst 2</c:v>
              </c:pt>
              <c:pt idx="2">
                <c:v>Analyst 3</c:v>
              </c:pt>
              <c:pt idx="3">
                <c:v>Analyst 4</c:v>
              </c:pt>
            </c:strLit>
          </c:cat>
          <c:val>
            <c:numLit>
              <c:formatCode>General</c:formatCode>
              <c:ptCount val="4"/>
              <c:pt idx="0">
                <c:v>19</c:v>
              </c:pt>
              <c:pt idx="1">
                <c:v>10</c:v>
              </c:pt>
              <c:pt idx="2">
                <c:v>18</c:v>
              </c:pt>
              <c:pt idx="3">
                <c:v>18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475840"/>
        <c:axId val="953479648"/>
      </c:barChart>
      <c:catAx>
        <c:axId val="9534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79648"/>
        <c:crosses val="autoZero"/>
        <c:auto val="1"/>
        <c:lblAlgn val="ctr"/>
        <c:lblOffset val="100"/>
        <c:noMultiLvlLbl val="0"/>
      </c:catAx>
      <c:valAx>
        <c:axId val="95347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integrity dashboard.xlsx]Pivot_Tables!PivotTable4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404040"/>
                </a:solidFill>
                <a:latin typeface="+mn-lt"/>
              </a:rPr>
              <a:t>Review</a:t>
            </a:r>
            <a:r>
              <a:rPr lang="en-US" b="1" baseline="0">
                <a:solidFill>
                  <a:srgbClr val="404040"/>
                </a:solidFill>
                <a:latin typeface="+mn-lt"/>
              </a:rPr>
              <a:t> Status Distribution</a:t>
            </a:r>
            <a:endParaRPr lang="en-US" b="1">
              <a:solidFill>
                <a:srgbClr val="40404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0256078115496521"/>
          <c:y val="5.1072696372723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Pivot_Tables!$A$11:$A$14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Pivot_Tables!$B$11:$B$14</c:f>
              <c:numCache>
                <c:formatCode>General</c:formatCode>
                <c:ptCount val="3"/>
                <c:pt idx="0">
                  <c:v>150</c:v>
                </c:pt>
                <c:pt idx="1">
                  <c:v>31</c:v>
                </c:pt>
                <c:pt idx="2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404040"/>
                </a:solidFill>
              </a:rPr>
              <a:t>Data</a:t>
            </a:r>
            <a:r>
              <a:rPr lang="en-IN" b="1" baseline="0">
                <a:solidFill>
                  <a:srgbClr val="404040"/>
                </a:solidFill>
              </a:rPr>
              <a:t> Integrity Issues by Product</a:t>
            </a:r>
            <a:endParaRPr lang="en-IN" b="1">
              <a:solidFill>
                <a:srgbClr val="40404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Pivot_Tables!$H$16</c:f>
              <c:strCache>
                <c:ptCount val="1"/>
                <c:pt idx="0">
                  <c:v>Missing Data</c:v>
                </c:pt>
              </c:strCache>
            </c:strRef>
          </c:tx>
          <c:spPr>
            <a:solidFill>
              <a:srgbClr val="D953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Pivot_Tables!$G$17:$G$25</c:f>
              <c:strCache>
                <c:ptCount val="9"/>
                <c:pt idx="0">
                  <c:v>Capsule A</c:v>
                </c:pt>
                <c:pt idx="1">
                  <c:v>Capsule B</c:v>
                </c:pt>
                <c:pt idx="2">
                  <c:v>Injection A</c:v>
                </c:pt>
                <c:pt idx="3">
                  <c:v>Injection B</c:v>
                </c:pt>
                <c:pt idx="4">
                  <c:v>Syrup A</c:v>
                </c:pt>
                <c:pt idx="5">
                  <c:v>Syrup B</c:v>
                </c:pt>
                <c:pt idx="6">
                  <c:v>Tablet A</c:v>
                </c:pt>
                <c:pt idx="7">
                  <c:v>Tablet B</c:v>
                </c:pt>
                <c:pt idx="8">
                  <c:v>Tablet C</c:v>
                </c:pt>
              </c:strCache>
            </c:strRef>
          </c:cat>
          <c:val>
            <c:numRef>
              <c:f>Pivot_Tables!$H$17:$H$25</c:f>
              <c:numCache>
                <c:formatCode>General</c:formatCode>
                <c:ptCount val="9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</c:ser>
        <c:ser>
          <c:idx val="1"/>
          <c:order val="1"/>
          <c:tx>
            <c:strRef>
              <c:f>Pivot_Tables!$I$16</c:f>
              <c:strCache>
                <c:ptCount val="1"/>
                <c:pt idx="0">
                  <c:v>Corrections Made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Pivot_Tables!$G$17:$G$25</c:f>
              <c:strCache>
                <c:ptCount val="9"/>
                <c:pt idx="0">
                  <c:v>Capsule A</c:v>
                </c:pt>
                <c:pt idx="1">
                  <c:v>Capsule B</c:v>
                </c:pt>
                <c:pt idx="2">
                  <c:v>Injection A</c:v>
                </c:pt>
                <c:pt idx="3">
                  <c:v>Injection B</c:v>
                </c:pt>
                <c:pt idx="4">
                  <c:v>Syrup A</c:v>
                </c:pt>
                <c:pt idx="5">
                  <c:v>Syrup B</c:v>
                </c:pt>
                <c:pt idx="6">
                  <c:v>Tablet A</c:v>
                </c:pt>
                <c:pt idx="7">
                  <c:v>Tablet B</c:v>
                </c:pt>
                <c:pt idx="8">
                  <c:v>Tablet C</c:v>
                </c:pt>
              </c:strCache>
            </c:strRef>
          </c:cat>
          <c:val>
            <c:numRef>
              <c:f>Pivot_Tables!$I$17:$I$25</c:f>
              <c:numCache>
                <c:formatCode>General</c:formatCode>
                <c:ptCount val="9"/>
                <c:pt idx="0">
                  <c:v>4</c:v>
                </c:pt>
                <c:pt idx="1">
                  <c:v>10</c:v>
                </c:pt>
                <c:pt idx="2">
                  <c:v>5</c:v>
                </c:pt>
                <c:pt idx="3">
                  <c:v>6</c:v>
                </c:pt>
                <c:pt idx="4">
                  <c:v>12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53470944"/>
        <c:axId val="953481824"/>
      </c:barChart>
      <c:catAx>
        <c:axId val="95347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81824"/>
        <c:crosses val="autoZero"/>
        <c:auto val="1"/>
        <c:lblAlgn val="ctr"/>
        <c:lblOffset val="100"/>
        <c:noMultiLvlLbl val="0"/>
      </c:catAx>
      <c:valAx>
        <c:axId val="953481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347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404040"/>
                </a:solidFill>
              </a:rPr>
              <a:t>Data</a:t>
            </a:r>
            <a:r>
              <a:rPr lang="en-IN" b="1" baseline="0">
                <a:solidFill>
                  <a:srgbClr val="404040"/>
                </a:solidFill>
              </a:rPr>
              <a:t> Integrity Risk Score by Analyst</a:t>
            </a:r>
            <a:endParaRPr lang="en-IN" b="1">
              <a:solidFill>
                <a:srgbClr val="404040"/>
              </a:solidFill>
            </a:endParaRPr>
          </a:p>
        </c:rich>
      </c:tx>
      <c:layout>
        <c:manualLayout>
          <c:xMode val="edge"/>
          <c:yMode val="edge"/>
          <c:x val="0.21233333333333332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Pivot_Tables!$D$16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FAA30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Pivot_Tables!$A$17:$A$20</c:f>
              <c:strCache>
                <c:ptCount val="4"/>
                <c:pt idx="0">
                  <c:v>Analyst 1</c:v>
                </c:pt>
                <c:pt idx="1">
                  <c:v>Analyst 2</c:v>
                </c:pt>
                <c:pt idx="2">
                  <c:v>Analyst 3</c:v>
                </c:pt>
                <c:pt idx="3">
                  <c:v>Analyst 4</c:v>
                </c:pt>
              </c:strCache>
            </c:strRef>
          </c:cat>
          <c:val>
            <c:numRef>
              <c:f>Pivot_Tables!$D$17:$D$20</c:f>
              <c:numCache>
                <c:formatCode>General</c:formatCode>
                <c:ptCount val="4"/>
                <c:pt idx="0">
                  <c:v>27</c:v>
                </c:pt>
                <c:pt idx="1">
                  <c:v>14</c:v>
                </c:pt>
                <c:pt idx="2">
                  <c:v>34</c:v>
                </c:pt>
                <c:pt idx="3">
                  <c:v>21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3480192"/>
        <c:axId val="953482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Pivot_Tables!$B$16</c15:sqref>
                        </c15:formulaRef>
                      </c:ext>
                    </c:extLst>
                    <c:strCache>
                      <c:ptCount val="1"/>
                      <c:pt idx="0">
                        <c:v>Missing Data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Pivot_Tables!$A$17:$A$20</c15:sqref>
                        </c15:formulaRef>
                      </c:ext>
                    </c:extLst>
                    <c:strCache>
                      <c:ptCount val="4"/>
                      <c:pt idx="0">
                        <c:v>Analyst 1</c:v>
                      </c:pt>
                      <c:pt idx="1">
                        <c:v>Analyst 2</c:v>
                      </c:pt>
                      <c:pt idx="2">
                        <c:v>Analyst 3</c:v>
                      </c:pt>
                      <c:pt idx="3">
                        <c:v>Analyst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Pivot_Tables!$B$17:$B$20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  <c:pt idx="1">
                        <c:v>4</c:v>
                      </c:pt>
                      <c:pt idx="2">
                        <c:v>16</c:v>
                      </c:pt>
                      <c:pt idx="3">
                        <c:v>3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Pivot_Tables!$C$16</c15:sqref>
                        </c15:formulaRef>
                      </c:ext>
                    </c:extLst>
                    <c:strCache>
                      <c:ptCount val="1"/>
                      <c:pt idx="0">
                        <c:v>Corrections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Pivot_Tables!$A$17:$A$20</c15:sqref>
                        </c15:formulaRef>
                      </c:ext>
                    </c:extLst>
                    <c:strCache>
                      <c:ptCount val="4"/>
                      <c:pt idx="0">
                        <c:v>Analyst 1</c:v>
                      </c:pt>
                      <c:pt idx="1">
                        <c:v>Analyst 2</c:v>
                      </c:pt>
                      <c:pt idx="2">
                        <c:v>Analyst 3</c:v>
                      </c:pt>
                      <c:pt idx="3">
                        <c:v>Analyst 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Pivot_Tables!$C$17:$C$20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</c:v>
                      </c:pt>
                      <c:pt idx="1">
                        <c:v>10</c:v>
                      </c:pt>
                      <c:pt idx="2">
                        <c:v>18</c:v>
                      </c:pt>
                      <c:pt idx="3">
                        <c:v>18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34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82368"/>
        <c:crosses val="autoZero"/>
        <c:auto val="1"/>
        <c:lblAlgn val="ctr"/>
        <c:lblOffset val="100"/>
        <c:noMultiLvlLbl val="0"/>
      </c:catAx>
      <c:valAx>
        <c:axId val="95348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8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0</xdr:rowOff>
    </xdr:from>
    <xdr:to>
      <xdr:col>3</xdr:col>
      <xdr:colOff>1647825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1</xdr:rowOff>
    </xdr:from>
    <xdr:to>
      <xdr:col>6</xdr:col>
      <xdr:colOff>1504950</xdr:colOff>
      <xdr:row>21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4</xdr:col>
      <xdr:colOff>19050</xdr:colOff>
      <xdr:row>35</xdr:row>
      <xdr:rowOff>9525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21</xdr:row>
      <xdr:rowOff>190499</xdr:rowOff>
    </xdr:from>
    <xdr:to>
      <xdr:col>7</xdr:col>
      <xdr:colOff>19050</xdr:colOff>
      <xdr:row>35</xdr:row>
      <xdr:rowOff>19051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593066</xdr:colOff>
      <xdr:row>35</xdr:row>
      <xdr:rowOff>36482</xdr:rowOff>
    </xdr:from>
    <xdr:to>
      <xdr:col>5</xdr:col>
      <xdr:colOff>579407</xdr:colOff>
      <xdr:row>45</xdr:row>
      <xdr:rowOff>179357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reelakshmi%20extra%20certificates\Portfolio%20Projects\Data%20integrity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99.981719444448" createdVersion="5" refreshedVersion="5" minRefreshableVersion="3" recordCount="200">
  <cacheSource type="worksheet">
    <worksheetSource name="Table1" r:id="rId2"/>
  </cacheSource>
  <cacheFields count="11">
    <cacheField name="Sample_ID" numFmtId="0">
      <sharedItems/>
    </cacheField>
    <cacheField name="Product" numFmtId="0">
      <sharedItems count="9">
        <s v="Tablet A"/>
        <s v="Tablet B"/>
        <s v="Syrup A"/>
        <s v="Capsule A"/>
        <s v="Tablet C"/>
        <s v="Injection A"/>
        <s v="Syrup B"/>
        <s v="Capsule B"/>
        <s v="Injection B"/>
      </sharedItems>
    </cacheField>
    <cacheField name="Analyst" numFmtId="0">
      <sharedItems count="4">
        <s v="Analyst 1"/>
        <s v="Analyst 2"/>
        <s v="Analyst 3"/>
        <s v="Analyst 4"/>
      </sharedItems>
    </cacheField>
    <cacheField name="Test_Type" numFmtId="0">
      <sharedItems/>
    </cacheField>
    <cacheField name="Test_Date" numFmtId="14">
      <sharedItems containsSemiMixedTypes="0" containsNonDate="0" containsDate="1" containsString="0" minDate="2024-01-02T00:00:00" maxDate="2024-04-11T00:00:00"/>
    </cacheField>
    <cacheField name="Entry_Date" numFmtId="14">
      <sharedItems containsSemiMixedTypes="0" containsNonDate="0" containsDate="1" containsString="0" minDate="2024-01-02T00:00:00" maxDate="2024-04-15T00:00:00"/>
    </cacheField>
    <cacheField name="Result_Status" numFmtId="0">
      <sharedItems/>
    </cacheField>
    <cacheField name="Correction_Made" numFmtId="0">
      <sharedItems count="2">
        <s v="No"/>
        <s v="Yes"/>
      </sharedItems>
    </cacheField>
    <cacheField name="Missing_Data" numFmtId="0">
      <sharedItems count="2">
        <s v="No"/>
        <s v="Yes"/>
      </sharedItems>
    </cacheField>
    <cacheField name="Review_Status" numFmtId="0">
      <sharedItems count="3">
        <s v="Approved"/>
        <s v="Pending"/>
        <s v="Rejected"/>
      </sharedItems>
    </cacheField>
    <cacheField name="Turnaround_Time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S001"/>
    <x v="0"/>
    <x v="0"/>
    <s v="Assay"/>
    <d v="2024-01-02T00:00:00"/>
    <d v="2024-01-02T00:00:00"/>
    <s v="Pass"/>
    <x v="0"/>
    <x v="0"/>
    <x v="0"/>
    <n v="2"/>
  </r>
  <r>
    <s v="S002"/>
    <x v="1"/>
    <x v="1"/>
    <s v="Dissolution"/>
    <d v="2024-01-02T00:00:00"/>
    <d v="2024-01-03T00:00:00"/>
    <s v="Pass"/>
    <x v="0"/>
    <x v="0"/>
    <x v="0"/>
    <n v="3"/>
  </r>
  <r>
    <s v="S003"/>
    <x v="2"/>
    <x v="2"/>
    <s v="Impurity"/>
    <d v="2024-01-03T00:00:00"/>
    <d v="2024-01-05T00:00:00"/>
    <s v="Pass"/>
    <x v="1"/>
    <x v="0"/>
    <x v="0"/>
    <n v="4"/>
  </r>
  <r>
    <s v="S004"/>
    <x v="0"/>
    <x v="0"/>
    <s v="Assay"/>
    <d v="2024-01-04T00:00:00"/>
    <d v="2024-01-04T00:00:00"/>
    <s v="Pass"/>
    <x v="0"/>
    <x v="0"/>
    <x v="0"/>
    <n v="2"/>
  </r>
  <r>
    <s v="S005"/>
    <x v="3"/>
    <x v="3"/>
    <s v="Dissolution"/>
    <d v="2024-01-04T00:00:00"/>
    <d v="2024-01-07T00:00:00"/>
    <s v="Fail"/>
    <x v="1"/>
    <x v="0"/>
    <x v="1"/>
    <n v="5"/>
  </r>
  <r>
    <s v="S006"/>
    <x v="1"/>
    <x v="1"/>
    <s v="Assay"/>
    <d v="2024-01-05T00:00:00"/>
    <d v="2024-01-05T00:00:00"/>
    <s v="Pass"/>
    <x v="0"/>
    <x v="0"/>
    <x v="0"/>
    <n v="2"/>
  </r>
  <r>
    <s v="S007"/>
    <x v="2"/>
    <x v="2"/>
    <s v="Impurity"/>
    <d v="2024-01-06T00:00:00"/>
    <d v="2024-01-08T00:00:00"/>
    <s v="Pass"/>
    <x v="0"/>
    <x v="1"/>
    <x v="0"/>
    <n v="4"/>
  </r>
  <r>
    <s v="S008"/>
    <x v="0"/>
    <x v="0"/>
    <s v="Assay"/>
    <d v="2024-01-06T00:00:00"/>
    <d v="2024-01-06T00:00:00"/>
    <s v="Pass"/>
    <x v="0"/>
    <x v="0"/>
    <x v="0"/>
    <n v="2"/>
  </r>
  <r>
    <s v="S009"/>
    <x v="3"/>
    <x v="3"/>
    <s v="Dissolution"/>
    <d v="2024-01-07T00:00:00"/>
    <d v="2024-01-09T00:00:00"/>
    <s v="Pass"/>
    <x v="0"/>
    <x v="0"/>
    <x v="0"/>
    <n v="3"/>
  </r>
  <r>
    <s v="S010"/>
    <x v="1"/>
    <x v="1"/>
    <s v="Impurity"/>
    <d v="2024-01-07T00:00:00"/>
    <d v="2024-01-10T00:00:00"/>
    <s v="Fail"/>
    <x v="1"/>
    <x v="0"/>
    <x v="2"/>
    <n v="4"/>
  </r>
  <r>
    <s v="S011"/>
    <x v="2"/>
    <x v="2"/>
    <s v="Assay"/>
    <d v="2024-01-08T00:00:00"/>
    <d v="2024-01-08T00:00:00"/>
    <s v="Pass"/>
    <x v="0"/>
    <x v="0"/>
    <x v="0"/>
    <n v="2"/>
  </r>
  <r>
    <s v="S012"/>
    <x v="0"/>
    <x v="0"/>
    <s v="Dissolution"/>
    <d v="2024-01-09T00:00:00"/>
    <d v="2024-01-11T00:00:00"/>
    <s v="Pass"/>
    <x v="0"/>
    <x v="0"/>
    <x v="0"/>
    <n v="3"/>
  </r>
  <r>
    <s v="S013"/>
    <x v="3"/>
    <x v="3"/>
    <s v="Assay"/>
    <d v="2024-01-09T00:00:00"/>
    <d v="2024-01-12T00:00:00"/>
    <s v="Pass"/>
    <x v="1"/>
    <x v="0"/>
    <x v="0"/>
    <n v="4"/>
  </r>
  <r>
    <s v="S014"/>
    <x v="1"/>
    <x v="1"/>
    <s v="Impurity"/>
    <d v="2024-01-10T00:00:00"/>
    <d v="2024-01-10T00:00:00"/>
    <s v="Pass"/>
    <x v="0"/>
    <x v="0"/>
    <x v="0"/>
    <n v="2"/>
  </r>
  <r>
    <s v="S015"/>
    <x v="2"/>
    <x v="2"/>
    <s v="Dissolution"/>
    <d v="2024-01-10T00:00:00"/>
    <d v="2024-01-13T00:00:00"/>
    <s v="Pass"/>
    <x v="0"/>
    <x v="1"/>
    <x v="1"/>
    <n v="4"/>
  </r>
  <r>
    <s v="S016"/>
    <x v="0"/>
    <x v="0"/>
    <s v="Assay"/>
    <d v="2024-01-11T00:00:00"/>
    <d v="2024-01-11T00:00:00"/>
    <s v="Pass"/>
    <x v="0"/>
    <x v="0"/>
    <x v="0"/>
    <n v="2"/>
  </r>
  <r>
    <s v="S017"/>
    <x v="3"/>
    <x v="3"/>
    <s v="Impurity"/>
    <d v="2024-01-11T00:00:00"/>
    <d v="2024-01-14T00:00:00"/>
    <s v="Fail"/>
    <x v="1"/>
    <x v="0"/>
    <x v="2"/>
    <n v="5"/>
  </r>
  <r>
    <s v="S018"/>
    <x v="1"/>
    <x v="1"/>
    <s v="Assay"/>
    <d v="2024-01-12T00:00:00"/>
    <d v="2024-01-12T00:00:00"/>
    <s v="Pass"/>
    <x v="0"/>
    <x v="0"/>
    <x v="0"/>
    <n v="2"/>
  </r>
  <r>
    <s v="S019"/>
    <x v="2"/>
    <x v="2"/>
    <s v="Dissolution"/>
    <d v="2024-01-12T00:00:00"/>
    <d v="2024-01-15T00:00:00"/>
    <s v="Pass"/>
    <x v="0"/>
    <x v="0"/>
    <x v="0"/>
    <n v="4"/>
  </r>
  <r>
    <s v="S020"/>
    <x v="0"/>
    <x v="0"/>
    <s v="Impurity"/>
    <d v="2024-01-13T00:00:00"/>
    <d v="2024-01-16T00:00:00"/>
    <s v="Pass"/>
    <x v="1"/>
    <x v="0"/>
    <x v="0"/>
    <n v="4"/>
  </r>
  <r>
    <s v="S021"/>
    <x v="0"/>
    <x v="1"/>
    <s v="Assay"/>
    <d v="2024-01-13T00:00:00"/>
    <d v="2024-01-13T00:00:00"/>
    <s v="Pass"/>
    <x v="0"/>
    <x v="0"/>
    <x v="0"/>
    <n v="2"/>
  </r>
  <r>
    <s v="S022"/>
    <x v="1"/>
    <x v="2"/>
    <s v="Dissolution"/>
    <d v="2024-01-14T00:00:00"/>
    <d v="2024-01-16T00:00:00"/>
    <s v="Pass"/>
    <x v="0"/>
    <x v="0"/>
    <x v="0"/>
    <n v="3"/>
  </r>
  <r>
    <s v="S023"/>
    <x v="2"/>
    <x v="0"/>
    <s v="Impurity"/>
    <d v="2024-01-14T00:00:00"/>
    <d v="2024-01-18T00:00:00"/>
    <s v="Pass"/>
    <x v="1"/>
    <x v="0"/>
    <x v="0"/>
    <n v="4"/>
  </r>
  <r>
    <s v="S024"/>
    <x v="3"/>
    <x v="3"/>
    <s v="Assay"/>
    <d v="2024-01-15T00:00:00"/>
    <d v="2024-01-15T00:00:00"/>
    <s v="Pass"/>
    <x v="0"/>
    <x v="0"/>
    <x v="0"/>
    <n v="2"/>
  </r>
  <r>
    <s v="S025"/>
    <x v="1"/>
    <x v="1"/>
    <s v="Dissolution"/>
    <d v="2024-01-15T00:00:00"/>
    <d v="2024-01-17T00:00:00"/>
    <s v="Fail"/>
    <x v="1"/>
    <x v="0"/>
    <x v="1"/>
    <n v="4"/>
  </r>
  <r>
    <s v="S026"/>
    <x v="2"/>
    <x v="2"/>
    <s v="Assay"/>
    <d v="2024-01-16T00:00:00"/>
    <d v="2024-01-16T00:00:00"/>
    <s v="Pass"/>
    <x v="0"/>
    <x v="0"/>
    <x v="0"/>
    <n v="2"/>
  </r>
  <r>
    <s v="S027"/>
    <x v="0"/>
    <x v="0"/>
    <s v="Impurity"/>
    <d v="2024-01-16T00:00:00"/>
    <d v="2024-01-19T00:00:00"/>
    <s v="Pass"/>
    <x v="0"/>
    <x v="1"/>
    <x v="0"/>
    <n v="4"/>
  </r>
  <r>
    <s v="S028"/>
    <x v="3"/>
    <x v="1"/>
    <s v="Dissolution"/>
    <d v="2024-01-17T00:00:00"/>
    <d v="2024-01-20T00:00:00"/>
    <s v="Pass"/>
    <x v="0"/>
    <x v="0"/>
    <x v="0"/>
    <n v="3"/>
  </r>
  <r>
    <s v="S029"/>
    <x v="1"/>
    <x v="3"/>
    <s v="Assay"/>
    <d v="2024-01-17T00:00:00"/>
    <d v="2024-01-17T00:00:00"/>
    <s v="Pass"/>
    <x v="0"/>
    <x v="0"/>
    <x v="0"/>
    <n v="2"/>
  </r>
  <r>
    <s v="S030"/>
    <x v="2"/>
    <x v="2"/>
    <s v="Impurity"/>
    <d v="2024-01-18T00:00:00"/>
    <d v="2024-01-21T00:00:00"/>
    <s v="Fail"/>
    <x v="1"/>
    <x v="0"/>
    <x v="2"/>
    <n v="5"/>
  </r>
  <r>
    <s v="S031"/>
    <x v="0"/>
    <x v="1"/>
    <s v="Assay"/>
    <d v="2024-01-18T00:00:00"/>
    <d v="2024-01-18T00:00:00"/>
    <s v="Pass"/>
    <x v="0"/>
    <x v="0"/>
    <x v="0"/>
    <n v="2"/>
  </r>
  <r>
    <s v="S032"/>
    <x v="1"/>
    <x v="0"/>
    <s v="Dissolution"/>
    <d v="2024-01-19T00:00:00"/>
    <d v="2024-01-22T00:00:00"/>
    <s v="Pass"/>
    <x v="0"/>
    <x v="0"/>
    <x v="0"/>
    <n v="4"/>
  </r>
  <r>
    <s v="S033"/>
    <x v="3"/>
    <x v="3"/>
    <s v="Assay"/>
    <d v="2024-01-19T00:00:00"/>
    <d v="2024-01-23T00:00:00"/>
    <s v="Pass"/>
    <x v="1"/>
    <x v="0"/>
    <x v="0"/>
    <n v="4"/>
  </r>
  <r>
    <s v="S034"/>
    <x v="2"/>
    <x v="2"/>
    <s v="Impurity"/>
    <d v="2024-01-20T00:00:00"/>
    <d v="2024-01-20T00:00:00"/>
    <s v="Pass"/>
    <x v="0"/>
    <x v="0"/>
    <x v="0"/>
    <n v="2"/>
  </r>
  <r>
    <s v="S035"/>
    <x v="0"/>
    <x v="1"/>
    <s v="Dissolution"/>
    <d v="2024-01-20T00:00:00"/>
    <d v="2024-01-24T00:00:00"/>
    <s v="Pass"/>
    <x v="0"/>
    <x v="1"/>
    <x v="1"/>
    <n v="5"/>
  </r>
  <r>
    <s v="S036"/>
    <x v="1"/>
    <x v="0"/>
    <s v="Assay"/>
    <d v="2024-01-21T00:00:00"/>
    <d v="2024-01-21T00:00:00"/>
    <s v="Pass"/>
    <x v="0"/>
    <x v="0"/>
    <x v="0"/>
    <n v="2"/>
  </r>
  <r>
    <s v="S037"/>
    <x v="3"/>
    <x v="3"/>
    <s v="Impurity"/>
    <d v="2024-01-21T00:00:00"/>
    <d v="2024-01-25T00:00:00"/>
    <s v="Fail"/>
    <x v="0"/>
    <x v="0"/>
    <x v="0"/>
    <n v="3"/>
  </r>
  <r>
    <s v="S038"/>
    <x v="2"/>
    <x v="2"/>
    <s v="Assay"/>
    <d v="2024-01-22T00:00:00"/>
    <d v="2024-01-22T00:00:00"/>
    <s v="Pass"/>
    <x v="0"/>
    <x v="0"/>
    <x v="0"/>
    <n v="2"/>
  </r>
  <r>
    <s v="S039"/>
    <x v="1"/>
    <x v="1"/>
    <s v="Dissolution"/>
    <d v="2024-01-22T00:00:00"/>
    <d v="2024-01-26T00:00:00"/>
    <s v="Pass"/>
    <x v="0"/>
    <x v="0"/>
    <x v="0"/>
    <n v="4"/>
  </r>
  <r>
    <s v="S040"/>
    <x v="0"/>
    <x v="0"/>
    <s v="Impurity"/>
    <d v="2024-01-23T00:00:00"/>
    <d v="2024-01-27T00:00:00"/>
    <s v="Pass"/>
    <x v="1"/>
    <x v="0"/>
    <x v="0"/>
    <n v="4"/>
  </r>
  <r>
    <s v="S041"/>
    <x v="0"/>
    <x v="0"/>
    <s v="Assay"/>
    <d v="2024-03-01T00:00:00"/>
    <d v="2024-03-03T00:00:00"/>
    <s v="Pass"/>
    <x v="0"/>
    <x v="0"/>
    <x v="0"/>
    <n v="3"/>
  </r>
  <r>
    <s v="S042"/>
    <x v="1"/>
    <x v="1"/>
    <s v="Dissolution"/>
    <d v="2024-03-01T00:00:00"/>
    <d v="2024-03-04T00:00:00"/>
    <s v="Pass"/>
    <x v="0"/>
    <x v="1"/>
    <x v="1"/>
    <n v="4"/>
  </r>
  <r>
    <s v="S043"/>
    <x v="2"/>
    <x v="2"/>
    <s v="Impurity"/>
    <d v="2024-03-02T00:00:00"/>
    <d v="2024-03-05T00:00:00"/>
    <s v="Pass"/>
    <x v="1"/>
    <x v="0"/>
    <x v="0"/>
    <n v="4"/>
  </r>
  <r>
    <s v="S044"/>
    <x v="3"/>
    <x v="3"/>
    <s v="Assay"/>
    <d v="2024-03-02T00:00:00"/>
    <d v="2024-03-02T00:00:00"/>
    <s v="Pass"/>
    <x v="0"/>
    <x v="0"/>
    <x v="0"/>
    <n v="2"/>
  </r>
  <r>
    <s v="S045"/>
    <x v="4"/>
    <x v="0"/>
    <s v="Impurity"/>
    <d v="2024-03-03T00:00:00"/>
    <d v="2024-03-07T00:00:00"/>
    <s v="Fail"/>
    <x v="1"/>
    <x v="0"/>
    <x v="2"/>
    <n v="5"/>
  </r>
  <r>
    <s v="S046"/>
    <x v="5"/>
    <x v="1"/>
    <s v="Assay"/>
    <d v="2024-03-03T00:00:00"/>
    <d v="2024-03-04T00:00:00"/>
    <s v="Pass"/>
    <x v="0"/>
    <x v="0"/>
    <x v="0"/>
    <n v="2"/>
  </r>
  <r>
    <s v="S047"/>
    <x v="6"/>
    <x v="2"/>
    <s v="Dissolution"/>
    <d v="2024-03-04T00:00:00"/>
    <d v="2024-03-08T00:00:00"/>
    <s v="Pass"/>
    <x v="0"/>
    <x v="0"/>
    <x v="0"/>
    <n v="3"/>
  </r>
  <r>
    <s v="S048"/>
    <x v="0"/>
    <x v="3"/>
    <s v="Assay"/>
    <d v="2024-03-04T00:00:00"/>
    <d v="2024-03-06T00:00:00"/>
    <s v="Pass"/>
    <x v="0"/>
    <x v="1"/>
    <x v="1"/>
    <n v="4"/>
  </r>
  <r>
    <s v="S049"/>
    <x v="7"/>
    <x v="0"/>
    <s v="Impurity"/>
    <d v="2024-03-05T00:00:00"/>
    <d v="2024-03-09T00:00:00"/>
    <s v="Pass"/>
    <x v="1"/>
    <x v="0"/>
    <x v="0"/>
    <n v="4"/>
  </r>
  <r>
    <s v="S050"/>
    <x v="1"/>
    <x v="1"/>
    <s v="Dissolution"/>
    <d v="2024-03-05T00:00:00"/>
    <d v="2024-03-07T00:00:00"/>
    <s v="Pass"/>
    <x v="0"/>
    <x v="0"/>
    <x v="0"/>
    <n v="3"/>
  </r>
  <r>
    <s v="S051"/>
    <x v="2"/>
    <x v="2"/>
    <s v="Assay"/>
    <d v="2024-03-06T00:00:00"/>
    <d v="2024-03-06T00:00:00"/>
    <s v="Pass"/>
    <x v="0"/>
    <x v="0"/>
    <x v="0"/>
    <n v="2"/>
  </r>
  <r>
    <s v="S052"/>
    <x v="8"/>
    <x v="3"/>
    <s v="Impurity"/>
    <d v="2024-03-06T00:00:00"/>
    <d v="2024-03-10T00:00:00"/>
    <s v="Fail"/>
    <x v="1"/>
    <x v="0"/>
    <x v="2"/>
    <n v="5"/>
  </r>
  <r>
    <s v="S053"/>
    <x v="4"/>
    <x v="0"/>
    <s v="Dissolution"/>
    <d v="2024-03-07T00:00:00"/>
    <d v="2024-03-11T00:00:00"/>
    <s v="Pass"/>
    <x v="0"/>
    <x v="1"/>
    <x v="1"/>
    <n v="4"/>
  </r>
  <r>
    <s v="S054"/>
    <x v="3"/>
    <x v="1"/>
    <s v="Assay"/>
    <d v="2024-03-07T00:00:00"/>
    <d v="2024-03-07T00:00:00"/>
    <s v="Pass"/>
    <x v="0"/>
    <x v="0"/>
    <x v="0"/>
    <n v="2"/>
  </r>
  <r>
    <s v="S055"/>
    <x v="6"/>
    <x v="2"/>
    <s v="Impurity"/>
    <d v="2024-03-08T00:00:00"/>
    <d v="2024-03-12T00:00:00"/>
    <s v="Pass"/>
    <x v="1"/>
    <x v="0"/>
    <x v="0"/>
    <n v="4"/>
  </r>
  <r>
    <s v="S056"/>
    <x v="0"/>
    <x v="3"/>
    <s v="Dissolution"/>
    <d v="2024-03-08T00:00:00"/>
    <d v="2024-03-10T00:00:00"/>
    <s v="Pass"/>
    <x v="0"/>
    <x v="0"/>
    <x v="0"/>
    <n v="3"/>
  </r>
  <r>
    <s v="S057"/>
    <x v="5"/>
    <x v="0"/>
    <s v="Assay"/>
    <d v="2024-03-09T00:00:00"/>
    <d v="2024-03-09T00:00:00"/>
    <s v="Pass"/>
    <x v="0"/>
    <x v="0"/>
    <x v="0"/>
    <n v="2"/>
  </r>
  <r>
    <s v="S058"/>
    <x v="7"/>
    <x v="1"/>
    <s v="Impurity"/>
    <d v="2024-03-09T00:00:00"/>
    <d v="2024-03-13T00:00:00"/>
    <s v="Pass"/>
    <x v="1"/>
    <x v="0"/>
    <x v="0"/>
    <n v="4"/>
  </r>
  <r>
    <s v="S059"/>
    <x v="1"/>
    <x v="2"/>
    <s v="Dissolution"/>
    <d v="2024-03-10T00:00:00"/>
    <d v="2024-03-14T00:00:00"/>
    <s v="Pass"/>
    <x v="0"/>
    <x v="1"/>
    <x v="1"/>
    <n v="4"/>
  </r>
  <r>
    <s v="S060"/>
    <x v="2"/>
    <x v="3"/>
    <s v="Assay"/>
    <d v="2024-03-10T00:00:00"/>
    <d v="2024-03-10T00:00:00"/>
    <s v="Pass"/>
    <x v="1"/>
    <x v="0"/>
    <x v="0"/>
    <n v="3"/>
  </r>
  <r>
    <s v="S061"/>
    <x v="0"/>
    <x v="0"/>
    <s v="Assay"/>
    <d v="2024-02-01T00:00:00"/>
    <d v="2024-02-03T00:00:00"/>
    <s v="Pass"/>
    <x v="0"/>
    <x v="0"/>
    <x v="0"/>
    <n v="3"/>
  </r>
  <r>
    <s v="S062"/>
    <x v="1"/>
    <x v="1"/>
    <s v="Dissolution"/>
    <d v="2024-02-01T00:00:00"/>
    <d v="2024-02-04T00:00:00"/>
    <s v="Pass"/>
    <x v="0"/>
    <x v="1"/>
    <x v="1"/>
    <n v="4"/>
  </r>
  <r>
    <s v="S063"/>
    <x v="2"/>
    <x v="2"/>
    <s v="Impurity"/>
    <d v="2024-02-02T00:00:00"/>
    <d v="2024-02-05T00:00:00"/>
    <s v="Pass"/>
    <x v="1"/>
    <x v="0"/>
    <x v="0"/>
    <n v="4"/>
  </r>
  <r>
    <s v="S064"/>
    <x v="3"/>
    <x v="3"/>
    <s v="Assay"/>
    <d v="2024-02-02T00:00:00"/>
    <d v="2024-02-02T00:00:00"/>
    <s v="Pass"/>
    <x v="0"/>
    <x v="0"/>
    <x v="0"/>
    <n v="2"/>
  </r>
  <r>
    <s v="S065"/>
    <x v="4"/>
    <x v="0"/>
    <s v="Impurity"/>
    <d v="2024-02-03T00:00:00"/>
    <d v="2024-02-07T00:00:00"/>
    <s v="Fail"/>
    <x v="1"/>
    <x v="0"/>
    <x v="2"/>
    <n v="5"/>
  </r>
  <r>
    <s v="S066"/>
    <x v="5"/>
    <x v="1"/>
    <s v="Assay"/>
    <d v="2024-02-03T00:00:00"/>
    <d v="2024-02-04T00:00:00"/>
    <s v="Pass"/>
    <x v="0"/>
    <x v="0"/>
    <x v="0"/>
    <n v="2"/>
  </r>
  <r>
    <s v="S067"/>
    <x v="6"/>
    <x v="2"/>
    <s v="Dissolution"/>
    <d v="2024-02-04T00:00:00"/>
    <d v="2024-02-08T00:00:00"/>
    <s v="Pass"/>
    <x v="0"/>
    <x v="1"/>
    <x v="1"/>
    <n v="4"/>
  </r>
  <r>
    <s v="S068"/>
    <x v="0"/>
    <x v="3"/>
    <s v="Assay"/>
    <d v="2024-02-04T00:00:00"/>
    <d v="2024-02-06T00:00:00"/>
    <s v="Pass"/>
    <x v="0"/>
    <x v="0"/>
    <x v="0"/>
    <n v="3"/>
  </r>
  <r>
    <s v="S069"/>
    <x v="7"/>
    <x v="0"/>
    <s v="Impurity"/>
    <d v="2024-02-05T00:00:00"/>
    <d v="2024-02-09T00:00:00"/>
    <s v="Pass"/>
    <x v="1"/>
    <x v="0"/>
    <x v="0"/>
    <n v="4"/>
  </r>
  <r>
    <s v="S070"/>
    <x v="1"/>
    <x v="1"/>
    <s v="Dissolution"/>
    <d v="2024-02-05T00:00:00"/>
    <d v="2024-02-07T00:00:00"/>
    <s v="Pass"/>
    <x v="0"/>
    <x v="0"/>
    <x v="0"/>
    <n v="3"/>
  </r>
  <r>
    <s v="S071"/>
    <x v="2"/>
    <x v="2"/>
    <s v="Assay"/>
    <d v="2024-02-06T00:00:00"/>
    <d v="2024-02-06T00:00:00"/>
    <s v="Pass"/>
    <x v="0"/>
    <x v="0"/>
    <x v="0"/>
    <n v="2"/>
  </r>
  <r>
    <s v="S072"/>
    <x v="8"/>
    <x v="3"/>
    <s v="Impurity"/>
    <d v="2024-02-06T00:00:00"/>
    <d v="2024-02-10T00:00:00"/>
    <s v="Fail"/>
    <x v="1"/>
    <x v="0"/>
    <x v="2"/>
    <n v="5"/>
  </r>
  <r>
    <s v="S073"/>
    <x v="4"/>
    <x v="0"/>
    <s v="Dissolution"/>
    <d v="2024-02-07T00:00:00"/>
    <d v="2024-02-11T00:00:00"/>
    <s v="Pass"/>
    <x v="0"/>
    <x v="1"/>
    <x v="1"/>
    <n v="4"/>
  </r>
  <r>
    <s v="S074"/>
    <x v="3"/>
    <x v="1"/>
    <s v="Assay"/>
    <d v="2024-02-07T00:00:00"/>
    <d v="2024-02-07T00:00:00"/>
    <s v="Pass"/>
    <x v="0"/>
    <x v="0"/>
    <x v="0"/>
    <n v="2"/>
  </r>
  <r>
    <s v="S075"/>
    <x v="6"/>
    <x v="2"/>
    <s v="Impurity"/>
    <d v="2024-02-08T00:00:00"/>
    <d v="2024-02-12T00:00:00"/>
    <s v="Pass"/>
    <x v="1"/>
    <x v="0"/>
    <x v="0"/>
    <n v="4"/>
  </r>
  <r>
    <s v="S076"/>
    <x v="0"/>
    <x v="3"/>
    <s v="Dissolution"/>
    <d v="2024-02-08T00:00:00"/>
    <d v="2024-02-10T00:00:00"/>
    <s v="Pass"/>
    <x v="0"/>
    <x v="0"/>
    <x v="0"/>
    <n v="3"/>
  </r>
  <r>
    <s v="S077"/>
    <x v="5"/>
    <x v="0"/>
    <s v="Assay"/>
    <d v="2024-02-09T00:00:00"/>
    <d v="2024-02-09T00:00:00"/>
    <s v="Pass"/>
    <x v="0"/>
    <x v="0"/>
    <x v="0"/>
    <n v="2"/>
  </r>
  <r>
    <s v="S078"/>
    <x v="7"/>
    <x v="1"/>
    <s v="Impurity"/>
    <d v="2024-02-09T00:00:00"/>
    <d v="2024-02-13T00:00:00"/>
    <s v="Pass"/>
    <x v="1"/>
    <x v="0"/>
    <x v="0"/>
    <n v="4"/>
  </r>
  <r>
    <s v="S079"/>
    <x v="1"/>
    <x v="2"/>
    <s v="Dissolution"/>
    <d v="2024-02-10T00:00:00"/>
    <d v="2024-02-14T00:00:00"/>
    <s v="Pass"/>
    <x v="0"/>
    <x v="1"/>
    <x v="1"/>
    <n v="4"/>
  </r>
  <r>
    <s v="S080"/>
    <x v="2"/>
    <x v="3"/>
    <s v="Assay"/>
    <d v="2024-02-10T00:00:00"/>
    <d v="2024-02-10T00:00:00"/>
    <s v="Pass"/>
    <x v="0"/>
    <x v="0"/>
    <x v="0"/>
    <n v="2"/>
  </r>
  <r>
    <s v="S081"/>
    <x v="4"/>
    <x v="0"/>
    <s v="Impurity"/>
    <d v="2024-02-11T00:00:00"/>
    <d v="2024-02-15T00:00:00"/>
    <s v="Fail"/>
    <x v="1"/>
    <x v="0"/>
    <x v="2"/>
    <n v="5"/>
  </r>
  <r>
    <s v="S082"/>
    <x v="8"/>
    <x v="1"/>
    <s v="Assay"/>
    <d v="2024-02-11T00:00:00"/>
    <d v="2024-02-12T00:00:00"/>
    <s v="Pass"/>
    <x v="0"/>
    <x v="0"/>
    <x v="0"/>
    <n v="2"/>
  </r>
  <r>
    <s v="S083"/>
    <x v="3"/>
    <x v="2"/>
    <s v="Dissolution"/>
    <d v="2024-02-12T00:00:00"/>
    <d v="2024-02-16T00:00:00"/>
    <s v="Pass"/>
    <x v="0"/>
    <x v="0"/>
    <x v="0"/>
    <n v="3"/>
  </r>
  <r>
    <s v="S084"/>
    <x v="0"/>
    <x v="3"/>
    <s v="Impurity"/>
    <d v="2024-02-12T00:00:00"/>
    <d v="2024-02-17T00:00:00"/>
    <s v="Pass"/>
    <x v="1"/>
    <x v="0"/>
    <x v="0"/>
    <n v="4"/>
  </r>
  <r>
    <s v="S085"/>
    <x v="6"/>
    <x v="0"/>
    <s v="Assay"/>
    <d v="2024-02-13T00:00:00"/>
    <d v="2024-02-13T00:00:00"/>
    <s v="Pass"/>
    <x v="0"/>
    <x v="0"/>
    <x v="0"/>
    <n v="2"/>
  </r>
  <r>
    <s v="S086"/>
    <x v="1"/>
    <x v="1"/>
    <s v="Dissolution"/>
    <d v="2024-02-13T00:00:00"/>
    <d v="2024-02-15T00:00:00"/>
    <s v="Pass"/>
    <x v="0"/>
    <x v="0"/>
    <x v="0"/>
    <n v="3"/>
  </r>
  <r>
    <s v="S087"/>
    <x v="7"/>
    <x v="2"/>
    <s v="Impurity"/>
    <d v="2024-02-14T00:00:00"/>
    <d v="2024-02-18T00:00:00"/>
    <s v="Pass"/>
    <x v="1"/>
    <x v="0"/>
    <x v="0"/>
    <n v="4"/>
  </r>
  <r>
    <s v="S088"/>
    <x v="5"/>
    <x v="3"/>
    <s v="Assay"/>
    <d v="2024-02-14T00:00:00"/>
    <d v="2024-02-14T00:00:00"/>
    <s v="Pass"/>
    <x v="0"/>
    <x v="0"/>
    <x v="0"/>
    <n v="2"/>
  </r>
  <r>
    <s v="S089"/>
    <x v="4"/>
    <x v="0"/>
    <s v="Dissolution"/>
    <d v="2024-02-15T00:00:00"/>
    <d v="2024-02-19T00:00:00"/>
    <s v="Pass"/>
    <x v="0"/>
    <x v="1"/>
    <x v="1"/>
    <n v="4"/>
  </r>
  <r>
    <s v="S090"/>
    <x v="2"/>
    <x v="1"/>
    <s v="Impurity"/>
    <d v="2024-02-15T00:00:00"/>
    <d v="2024-02-20T00:00:00"/>
    <s v="Pass"/>
    <x v="1"/>
    <x v="0"/>
    <x v="0"/>
    <n v="4"/>
  </r>
  <r>
    <s v="S091"/>
    <x v="0"/>
    <x v="2"/>
    <s v="Assay"/>
    <d v="2024-02-16T00:00:00"/>
    <d v="2024-02-16T00:00:00"/>
    <s v="Pass"/>
    <x v="0"/>
    <x v="0"/>
    <x v="0"/>
    <n v="2"/>
  </r>
  <r>
    <s v="S092"/>
    <x v="3"/>
    <x v="3"/>
    <s v="Dissolution"/>
    <d v="2024-02-16T00:00:00"/>
    <d v="2024-02-18T00:00:00"/>
    <s v="Pass"/>
    <x v="0"/>
    <x v="1"/>
    <x v="1"/>
    <n v="4"/>
  </r>
  <r>
    <s v="S093"/>
    <x v="6"/>
    <x v="0"/>
    <s v="Impurity"/>
    <d v="2024-02-17T00:00:00"/>
    <d v="2024-02-21T00:00:00"/>
    <s v="Pass"/>
    <x v="1"/>
    <x v="0"/>
    <x v="0"/>
    <n v="4"/>
  </r>
  <r>
    <s v="S094"/>
    <x v="8"/>
    <x v="1"/>
    <s v="Assay"/>
    <d v="2024-02-17T00:00:00"/>
    <d v="2024-02-17T00:00:00"/>
    <s v="Pass"/>
    <x v="0"/>
    <x v="0"/>
    <x v="0"/>
    <n v="2"/>
  </r>
  <r>
    <s v="S095"/>
    <x v="1"/>
    <x v="2"/>
    <s v="Dissolution"/>
    <d v="2024-02-18T00:00:00"/>
    <d v="2024-02-22T00:00:00"/>
    <s v="Pass"/>
    <x v="0"/>
    <x v="1"/>
    <x v="1"/>
    <n v="4"/>
  </r>
  <r>
    <s v="S096"/>
    <x v="7"/>
    <x v="3"/>
    <s v="Impurity"/>
    <d v="2024-02-18T00:00:00"/>
    <d v="2024-02-23T00:00:00"/>
    <s v="Fail"/>
    <x v="1"/>
    <x v="0"/>
    <x v="2"/>
    <n v="5"/>
  </r>
  <r>
    <s v="S097"/>
    <x v="0"/>
    <x v="0"/>
    <s v="Assay"/>
    <d v="2024-02-19T00:00:00"/>
    <d v="2024-02-19T00:00:00"/>
    <s v="Pass"/>
    <x v="0"/>
    <x v="0"/>
    <x v="0"/>
    <n v="2"/>
  </r>
  <r>
    <s v="S098"/>
    <x v="2"/>
    <x v="1"/>
    <s v="Dissolution"/>
    <d v="2024-02-19T00:00:00"/>
    <d v="2024-02-21T00:00:00"/>
    <s v="Pass"/>
    <x v="0"/>
    <x v="0"/>
    <x v="0"/>
    <n v="3"/>
  </r>
  <r>
    <s v="S099"/>
    <x v="5"/>
    <x v="2"/>
    <s v="Impurity"/>
    <d v="2024-02-20T00:00:00"/>
    <d v="2024-02-24T00:00:00"/>
    <s v="Pass"/>
    <x v="1"/>
    <x v="0"/>
    <x v="0"/>
    <n v="4"/>
  </r>
  <r>
    <s v="S100"/>
    <x v="4"/>
    <x v="3"/>
    <s v="Assay"/>
    <d v="2024-02-20T00:00:00"/>
    <d v="2024-02-20T00:00:00"/>
    <s v="Pass"/>
    <x v="0"/>
    <x v="0"/>
    <x v="0"/>
    <n v="2"/>
  </r>
  <r>
    <s v="S101"/>
    <x v="0"/>
    <x v="0"/>
    <s v="Assay"/>
    <d v="2024-02-21T00:00:00"/>
    <d v="2024-02-23T00:00:00"/>
    <s v="Pass"/>
    <x v="0"/>
    <x v="0"/>
    <x v="0"/>
    <n v="3"/>
  </r>
  <r>
    <s v="S102"/>
    <x v="1"/>
    <x v="1"/>
    <s v="Dissolution"/>
    <d v="2024-02-21T00:00:00"/>
    <d v="2024-02-24T00:00:00"/>
    <s v="Pass"/>
    <x v="0"/>
    <x v="1"/>
    <x v="1"/>
    <n v="4"/>
  </r>
  <r>
    <s v="S103"/>
    <x v="2"/>
    <x v="2"/>
    <s v="Impurity"/>
    <d v="2024-02-22T00:00:00"/>
    <d v="2024-02-26T00:00:00"/>
    <s v="Pass"/>
    <x v="1"/>
    <x v="0"/>
    <x v="0"/>
    <n v="4"/>
  </r>
  <r>
    <s v="S104"/>
    <x v="3"/>
    <x v="3"/>
    <s v="Assay"/>
    <d v="2024-02-22T00:00:00"/>
    <d v="2024-02-22T00:00:00"/>
    <s v="Pass"/>
    <x v="0"/>
    <x v="0"/>
    <x v="0"/>
    <n v="2"/>
  </r>
  <r>
    <s v="S105"/>
    <x v="4"/>
    <x v="0"/>
    <s v="Impurity"/>
    <d v="2024-02-23T00:00:00"/>
    <d v="2024-02-27T00:00:00"/>
    <s v="Fail"/>
    <x v="1"/>
    <x v="0"/>
    <x v="2"/>
    <n v="5"/>
  </r>
  <r>
    <s v="S106"/>
    <x v="5"/>
    <x v="1"/>
    <s v="Assay"/>
    <d v="2024-02-23T00:00:00"/>
    <d v="2024-02-24T00:00:00"/>
    <s v="Pass"/>
    <x v="0"/>
    <x v="0"/>
    <x v="0"/>
    <n v="2"/>
  </r>
  <r>
    <s v="S107"/>
    <x v="6"/>
    <x v="2"/>
    <s v="Dissolution"/>
    <d v="2024-02-24T00:00:00"/>
    <d v="2024-02-28T00:00:00"/>
    <s v="Pass"/>
    <x v="0"/>
    <x v="1"/>
    <x v="1"/>
    <n v="4"/>
  </r>
  <r>
    <s v="S108"/>
    <x v="0"/>
    <x v="3"/>
    <s v="Assay"/>
    <d v="2024-02-24T00:00:00"/>
    <d v="2024-02-26T00:00:00"/>
    <s v="Pass"/>
    <x v="0"/>
    <x v="0"/>
    <x v="0"/>
    <n v="3"/>
  </r>
  <r>
    <s v="S109"/>
    <x v="7"/>
    <x v="0"/>
    <s v="Impurity"/>
    <d v="2024-02-25T00:00:00"/>
    <d v="2024-02-29T00:00:00"/>
    <s v="Pass"/>
    <x v="1"/>
    <x v="0"/>
    <x v="0"/>
    <n v="4"/>
  </r>
  <r>
    <s v="S110"/>
    <x v="1"/>
    <x v="1"/>
    <s v="Dissolution"/>
    <d v="2024-02-25T00:00:00"/>
    <d v="2024-02-27T00:00:00"/>
    <s v="Pass"/>
    <x v="0"/>
    <x v="0"/>
    <x v="0"/>
    <n v="3"/>
  </r>
  <r>
    <s v="S111"/>
    <x v="2"/>
    <x v="2"/>
    <s v="Assay"/>
    <d v="2024-02-26T00:00:00"/>
    <d v="2024-02-26T00:00:00"/>
    <s v="Pass"/>
    <x v="0"/>
    <x v="0"/>
    <x v="0"/>
    <n v="2"/>
  </r>
  <r>
    <s v="S112"/>
    <x v="8"/>
    <x v="3"/>
    <s v="Impurity"/>
    <d v="2024-02-26T00:00:00"/>
    <d v="2024-03-01T00:00:00"/>
    <s v="Fail"/>
    <x v="1"/>
    <x v="0"/>
    <x v="2"/>
    <n v="5"/>
  </r>
  <r>
    <s v="S113"/>
    <x v="4"/>
    <x v="0"/>
    <s v="Dissolution"/>
    <d v="2024-02-27T00:00:00"/>
    <d v="2024-03-02T00:00:00"/>
    <s v="Pass"/>
    <x v="0"/>
    <x v="1"/>
    <x v="1"/>
    <n v="4"/>
  </r>
  <r>
    <s v="S114"/>
    <x v="3"/>
    <x v="1"/>
    <s v="Assay"/>
    <d v="2024-02-27T00:00:00"/>
    <d v="2024-02-27T00:00:00"/>
    <s v="Pass"/>
    <x v="0"/>
    <x v="0"/>
    <x v="0"/>
    <n v="2"/>
  </r>
  <r>
    <s v="S115"/>
    <x v="6"/>
    <x v="2"/>
    <s v="Impurity"/>
    <d v="2024-02-28T00:00:00"/>
    <d v="2024-03-03T00:00:00"/>
    <s v="Pass"/>
    <x v="1"/>
    <x v="0"/>
    <x v="0"/>
    <n v="4"/>
  </r>
  <r>
    <s v="S116"/>
    <x v="0"/>
    <x v="3"/>
    <s v="Dissolution"/>
    <d v="2024-02-28T00:00:00"/>
    <d v="2024-03-01T00:00:00"/>
    <s v="Pass"/>
    <x v="0"/>
    <x v="0"/>
    <x v="0"/>
    <n v="3"/>
  </r>
  <r>
    <s v="S117"/>
    <x v="5"/>
    <x v="0"/>
    <s v="Assay"/>
    <d v="2024-02-29T00:00:00"/>
    <d v="2024-02-29T00:00:00"/>
    <s v="Pass"/>
    <x v="0"/>
    <x v="0"/>
    <x v="0"/>
    <n v="2"/>
  </r>
  <r>
    <s v="S118"/>
    <x v="7"/>
    <x v="1"/>
    <s v="Impurity"/>
    <d v="2024-02-29T00:00:00"/>
    <d v="2024-03-04T00:00:00"/>
    <s v="Pass"/>
    <x v="1"/>
    <x v="0"/>
    <x v="0"/>
    <n v="4"/>
  </r>
  <r>
    <s v="S119"/>
    <x v="1"/>
    <x v="2"/>
    <s v="Dissolution"/>
    <d v="2024-03-01T00:00:00"/>
    <d v="2024-03-05T00:00:00"/>
    <s v="Pass"/>
    <x v="0"/>
    <x v="1"/>
    <x v="1"/>
    <n v="4"/>
  </r>
  <r>
    <s v="S120"/>
    <x v="2"/>
    <x v="3"/>
    <s v="Assay"/>
    <d v="2024-03-01T00:00:00"/>
    <d v="2024-03-01T00:00:00"/>
    <s v="Pass"/>
    <x v="0"/>
    <x v="1"/>
    <x v="1"/>
    <n v="5"/>
  </r>
  <r>
    <s v="S121"/>
    <x v="4"/>
    <x v="0"/>
    <s v="Impurity"/>
    <d v="2024-03-02T00:00:00"/>
    <d v="2024-03-06T00:00:00"/>
    <s v="Fail"/>
    <x v="1"/>
    <x v="0"/>
    <x v="2"/>
    <n v="5"/>
  </r>
  <r>
    <s v="S122"/>
    <x v="8"/>
    <x v="1"/>
    <s v="Assay"/>
    <d v="2024-03-02T00:00:00"/>
    <d v="2024-03-03T00:00:00"/>
    <s v="Pass"/>
    <x v="0"/>
    <x v="0"/>
    <x v="0"/>
    <n v="2"/>
  </r>
  <r>
    <s v="S123"/>
    <x v="3"/>
    <x v="2"/>
    <s v="Dissolution"/>
    <d v="2024-03-03T00:00:00"/>
    <d v="2024-03-07T00:00:00"/>
    <s v="Pass"/>
    <x v="0"/>
    <x v="1"/>
    <x v="1"/>
    <n v="4"/>
  </r>
  <r>
    <s v="S124"/>
    <x v="0"/>
    <x v="3"/>
    <s v="Impurity"/>
    <d v="2024-03-03T00:00:00"/>
    <d v="2024-03-08T00:00:00"/>
    <s v="Pass"/>
    <x v="1"/>
    <x v="0"/>
    <x v="0"/>
    <n v="4"/>
  </r>
  <r>
    <s v="S125"/>
    <x v="6"/>
    <x v="0"/>
    <s v="Assay"/>
    <d v="2024-03-04T00:00:00"/>
    <d v="2024-03-04T00:00:00"/>
    <s v="Pass"/>
    <x v="0"/>
    <x v="0"/>
    <x v="0"/>
    <n v="2"/>
  </r>
  <r>
    <s v="S126"/>
    <x v="1"/>
    <x v="1"/>
    <s v="Dissolution"/>
    <d v="2024-03-04T00:00:00"/>
    <d v="2024-03-06T00:00:00"/>
    <s v="Pass"/>
    <x v="0"/>
    <x v="0"/>
    <x v="0"/>
    <n v="3"/>
  </r>
  <r>
    <s v="S127"/>
    <x v="7"/>
    <x v="2"/>
    <s v="Impurity"/>
    <d v="2024-03-05T00:00:00"/>
    <d v="2024-03-09T00:00:00"/>
    <s v="Pass"/>
    <x v="1"/>
    <x v="0"/>
    <x v="0"/>
    <n v="4"/>
  </r>
  <r>
    <s v="S128"/>
    <x v="5"/>
    <x v="3"/>
    <s v="Assay"/>
    <d v="2024-03-05T00:00:00"/>
    <d v="2024-03-05T00:00:00"/>
    <s v="Pass"/>
    <x v="0"/>
    <x v="0"/>
    <x v="0"/>
    <n v="2"/>
  </r>
  <r>
    <s v="S129"/>
    <x v="4"/>
    <x v="0"/>
    <s v="Dissolution"/>
    <d v="2024-03-06T00:00:00"/>
    <d v="2024-03-10T00:00:00"/>
    <s v="Pass"/>
    <x v="0"/>
    <x v="0"/>
    <x v="0"/>
    <n v="3"/>
  </r>
  <r>
    <s v="S130"/>
    <x v="2"/>
    <x v="1"/>
    <s v="Impurity"/>
    <d v="2024-03-06T00:00:00"/>
    <d v="2024-03-11T00:00:00"/>
    <s v="Pass"/>
    <x v="1"/>
    <x v="0"/>
    <x v="0"/>
    <n v="4"/>
  </r>
  <r>
    <s v="S131"/>
    <x v="0"/>
    <x v="2"/>
    <s v="Assay"/>
    <d v="2024-03-07T00:00:00"/>
    <d v="2024-03-07T00:00:00"/>
    <s v="Pass"/>
    <x v="0"/>
    <x v="0"/>
    <x v="0"/>
    <n v="2"/>
  </r>
  <r>
    <s v="S132"/>
    <x v="3"/>
    <x v="3"/>
    <s v="Dissolution"/>
    <d v="2024-03-07T00:00:00"/>
    <d v="2024-03-09T00:00:00"/>
    <s v="Pass"/>
    <x v="0"/>
    <x v="0"/>
    <x v="0"/>
    <n v="3"/>
  </r>
  <r>
    <s v="S133"/>
    <x v="6"/>
    <x v="0"/>
    <s v="Impurity"/>
    <d v="2024-03-08T00:00:00"/>
    <d v="2024-03-12T00:00:00"/>
    <s v="Pass"/>
    <x v="1"/>
    <x v="0"/>
    <x v="0"/>
    <n v="4"/>
  </r>
  <r>
    <s v="S134"/>
    <x v="8"/>
    <x v="1"/>
    <s v="Assay"/>
    <d v="2024-03-08T00:00:00"/>
    <d v="2024-03-08T00:00:00"/>
    <s v="Pass"/>
    <x v="0"/>
    <x v="0"/>
    <x v="0"/>
    <n v="2"/>
  </r>
  <r>
    <s v="S135"/>
    <x v="1"/>
    <x v="2"/>
    <s v="Dissolution"/>
    <d v="2024-03-09T00:00:00"/>
    <d v="2024-03-13T00:00:00"/>
    <s v="Pass"/>
    <x v="0"/>
    <x v="1"/>
    <x v="1"/>
    <n v="4"/>
  </r>
  <r>
    <s v="S136"/>
    <x v="7"/>
    <x v="3"/>
    <s v="Impurity"/>
    <d v="2024-03-09T00:00:00"/>
    <d v="2024-03-14T00:00:00"/>
    <s v="Fail"/>
    <x v="1"/>
    <x v="0"/>
    <x v="2"/>
    <n v="5"/>
  </r>
  <r>
    <s v="S137"/>
    <x v="0"/>
    <x v="0"/>
    <s v="Assay"/>
    <d v="2024-03-10T00:00:00"/>
    <d v="2024-03-10T00:00:00"/>
    <s v="Pass"/>
    <x v="0"/>
    <x v="0"/>
    <x v="0"/>
    <n v="2"/>
  </r>
  <r>
    <s v="S138"/>
    <x v="2"/>
    <x v="1"/>
    <s v="Dissolution"/>
    <d v="2024-03-10T00:00:00"/>
    <d v="2024-03-12T00:00:00"/>
    <s v="Pass"/>
    <x v="0"/>
    <x v="0"/>
    <x v="0"/>
    <n v="3"/>
  </r>
  <r>
    <s v="S139"/>
    <x v="5"/>
    <x v="2"/>
    <s v="Impurity"/>
    <d v="2024-03-11T00:00:00"/>
    <d v="2024-03-15T00:00:00"/>
    <s v="Pass"/>
    <x v="1"/>
    <x v="0"/>
    <x v="0"/>
    <n v="4"/>
  </r>
  <r>
    <s v="S140"/>
    <x v="4"/>
    <x v="3"/>
    <s v="Assay"/>
    <d v="2024-03-11T00:00:00"/>
    <d v="2024-03-11T00:00:00"/>
    <s v="Pass"/>
    <x v="0"/>
    <x v="0"/>
    <x v="0"/>
    <n v="2"/>
  </r>
  <r>
    <s v="S141"/>
    <x v="1"/>
    <x v="0"/>
    <s v="Impurity"/>
    <d v="2024-03-12T00:00:00"/>
    <d v="2024-03-16T00:00:00"/>
    <s v="Pass"/>
    <x v="1"/>
    <x v="0"/>
    <x v="0"/>
    <n v="4"/>
  </r>
  <r>
    <s v="S142"/>
    <x v="6"/>
    <x v="1"/>
    <s v="Assay"/>
    <d v="2024-03-12T00:00:00"/>
    <d v="2024-03-12T00:00:00"/>
    <s v="Pass"/>
    <x v="0"/>
    <x v="0"/>
    <x v="0"/>
    <n v="2"/>
  </r>
  <r>
    <s v="S143"/>
    <x v="3"/>
    <x v="2"/>
    <s v="Dissolution"/>
    <d v="2024-03-13T00:00:00"/>
    <d v="2024-03-17T00:00:00"/>
    <s v="Pass"/>
    <x v="0"/>
    <x v="1"/>
    <x v="1"/>
    <n v="4"/>
  </r>
  <r>
    <s v="S144"/>
    <x v="8"/>
    <x v="3"/>
    <s v="Impurity"/>
    <d v="2024-03-13T00:00:00"/>
    <d v="2024-03-18T00:00:00"/>
    <s v="Fail"/>
    <x v="1"/>
    <x v="0"/>
    <x v="2"/>
    <n v="5"/>
  </r>
  <r>
    <s v="S145"/>
    <x v="0"/>
    <x v="0"/>
    <s v="Assay"/>
    <d v="2024-03-14T00:00:00"/>
    <d v="2024-03-14T00:00:00"/>
    <s v="Pass"/>
    <x v="0"/>
    <x v="0"/>
    <x v="0"/>
    <n v="2"/>
  </r>
  <r>
    <s v="S146"/>
    <x v="4"/>
    <x v="1"/>
    <s v="Dissolution"/>
    <d v="2024-03-14T00:00:00"/>
    <d v="2024-03-16T00:00:00"/>
    <s v="Pass"/>
    <x v="0"/>
    <x v="0"/>
    <x v="0"/>
    <n v="3"/>
  </r>
  <r>
    <s v="S147"/>
    <x v="2"/>
    <x v="2"/>
    <s v="Impurity"/>
    <d v="2024-03-15T00:00:00"/>
    <d v="2024-03-19T00:00:00"/>
    <s v="Pass"/>
    <x v="1"/>
    <x v="0"/>
    <x v="0"/>
    <n v="4"/>
  </r>
  <r>
    <s v="S148"/>
    <x v="7"/>
    <x v="3"/>
    <s v="Assay"/>
    <d v="2024-03-15T00:00:00"/>
    <d v="2024-03-15T00:00:00"/>
    <s v="Pass"/>
    <x v="0"/>
    <x v="0"/>
    <x v="0"/>
    <n v="2"/>
  </r>
  <r>
    <s v="S149"/>
    <x v="5"/>
    <x v="0"/>
    <s v="Dissolution"/>
    <d v="2024-03-16T00:00:00"/>
    <d v="2024-03-20T00:00:00"/>
    <s v="Pass"/>
    <x v="0"/>
    <x v="1"/>
    <x v="1"/>
    <n v="4"/>
  </r>
  <r>
    <s v="S150"/>
    <x v="1"/>
    <x v="1"/>
    <s v="Impurity"/>
    <d v="2024-03-16T00:00:00"/>
    <d v="2024-03-21T00:00:00"/>
    <s v="Pass"/>
    <x v="1"/>
    <x v="0"/>
    <x v="0"/>
    <n v="4"/>
  </r>
  <r>
    <s v="S151"/>
    <x v="0"/>
    <x v="2"/>
    <s v="Assay"/>
    <d v="2024-03-17T00:00:00"/>
    <d v="2024-03-17T00:00:00"/>
    <s v="Pass"/>
    <x v="0"/>
    <x v="0"/>
    <x v="0"/>
    <n v="2"/>
  </r>
  <r>
    <s v="S152"/>
    <x v="3"/>
    <x v="3"/>
    <s v="Dissolution"/>
    <d v="2024-03-17T00:00:00"/>
    <d v="2024-03-19T00:00:00"/>
    <s v="Pass"/>
    <x v="0"/>
    <x v="0"/>
    <x v="0"/>
    <n v="3"/>
  </r>
  <r>
    <s v="S153"/>
    <x v="6"/>
    <x v="0"/>
    <s v="Impurity"/>
    <d v="2024-03-18T00:00:00"/>
    <d v="2024-03-22T00:00:00"/>
    <s v="Pass"/>
    <x v="1"/>
    <x v="0"/>
    <x v="0"/>
    <n v="4"/>
  </r>
  <r>
    <s v="S154"/>
    <x v="8"/>
    <x v="1"/>
    <s v="Assay"/>
    <d v="2024-03-18T00:00:00"/>
    <d v="2024-03-18T00:00:00"/>
    <s v="Pass"/>
    <x v="0"/>
    <x v="0"/>
    <x v="0"/>
    <n v="2"/>
  </r>
  <r>
    <s v="S155"/>
    <x v="4"/>
    <x v="2"/>
    <s v="Dissolution"/>
    <d v="2024-03-19T00:00:00"/>
    <d v="2024-03-23T00:00:00"/>
    <s v="Pass"/>
    <x v="0"/>
    <x v="1"/>
    <x v="1"/>
    <n v="4"/>
  </r>
  <r>
    <s v="S156"/>
    <x v="0"/>
    <x v="3"/>
    <s v="Impurity"/>
    <d v="2024-03-19T00:00:00"/>
    <d v="2024-03-24T00:00:00"/>
    <s v="Fail"/>
    <x v="1"/>
    <x v="0"/>
    <x v="2"/>
    <n v="5"/>
  </r>
  <r>
    <s v="S157"/>
    <x v="2"/>
    <x v="0"/>
    <s v="Assay"/>
    <d v="2024-03-20T00:00:00"/>
    <d v="2024-03-20T00:00:00"/>
    <s v="Pass"/>
    <x v="0"/>
    <x v="0"/>
    <x v="0"/>
    <n v="2"/>
  </r>
  <r>
    <s v="S158"/>
    <x v="7"/>
    <x v="1"/>
    <s v="Dissolution"/>
    <d v="2024-03-20T00:00:00"/>
    <d v="2024-03-22T00:00:00"/>
    <s v="Pass"/>
    <x v="0"/>
    <x v="0"/>
    <x v="0"/>
    <n v="3"/>
  </r>
  <r>
    <s v="S159"/>
    <x v="5"/>
    <x v="2"/>
    <s v="Impurity"/>
    <d v="2024-03-21T00:00:00"/>
    <d v="2024-03-25T00:00:00"/>
    <s v="Pass"/>
    <x v="1"/>
    <x v="0"/>
    <x v="0"/>
    <n v="4"/>
  </r>
  <r>
    <s v="S160"/>
    <x v="1"/>
    <x v="3"/>
    <s v="Assay"/>
    <d v="2024-03-21T00:00:00"/>
    <d v="2024-03-21T00:00:00"/>
    <s v="Pass"/>
    <x v="0"/>
    <x v="0"/>
    <x v="0"/>
    <n v="2"/>
  </r>
  <r>
    <s v="S161"/>
    <x v="4"/>
    <x v="0"/>
    <s v="Impurity"/>
    <d v="2024-03-22T00:00:00"/>
    <d v="2024-03-26T00:00:00"/>
    <s v="Pass"/>
    <x v="1"/>
    <x v="0"/>
    <x v="0"/>
    <n v="4"/>
  </r>
  <r>
    <s v="S162"/>
    <x v="6"/>
    <x v="1"/>
    <s v="Assay"/>
    <d v="2024-03-22T00:00:00"/>
    <d v="2024-03-22T00:00:00"/>
    <s v="Pass"/>
    <x v="0"/>
    <x v="0"/>
    <x v="0"/>
    <n v="2"/>
  </r>
  <r>
    <s v="S163"/>
    <x v="3"/>
    <x v="2"/>
    <s v="Dissolution"/>
    <d v="2024-03-23T00:00:00"/>
    <d v="2024-03-27T00:00:00"/>
    <s v="Pass"/>
    <x v="0"/>
    <x v="1"/>
    <x v="1"/>
    <n v="4"/>
  </r>
  <r>
    <s v="S164"/>
    <x v="8"/>
    <x v="3"/>
    <s v="Impurity"/>
    <d v="2024-03-23T00:00:00"/>
    <d v="2024-03-28T00:00:00"/>
    <s v="Fail"/>
    <x v="1"/>
    <x v="0"/>
    <x v="2"/>
    <n v="5"/>
  </r>
  <r>
    <s v="S165"/>
    <x v="0"/>
    <x v="0"/>
    <s v="Assay"/>
    <d v="2024-03-24T00:00:00"/>
    <d v="2024-03-24T00:00:00"/>
    <s v="Pass"/>
    <x v="0"/>
    <x v="0"/>
    <x v="0"/>
    <n v="2"/>
  </r>
  <r>
    <s v="S166"/>
    <x v="4"/>
    <x v="1"/>
    <s v="Dissolution"/>
    <d v="2024-03-24T00:00:00"/>
    <d v="2024-03-26T00:00:00"/>
    <s v="Pass"/>
    <x v="0"/>
    <x v="0"/>
    <x v="0"/>
    <n v="3"/>
  </r>
  <r>
    <s v="S167"/>
    <x v="2"/>
    <x v="2"/>
    <s v="Impurity"/>
    <d v="2024-03-25T00:00:00"/>
    <d v="2024-03-29T00:00:00"/>
    <s v="Pass"/>
    <x v="1"/>
    <x v="0"/>
    <x v="0"/>
    <n v="4"/>
  </r>
  <r>
    <s v="S168"/>
    <x v="7"/>
    <x v="3"/>
    <s v="Assay"/>
    <d v="2024-03-25T00:00:00"/>
    <d v="2024-03-25T00:00:00"/>
    <s v="Pass"/>
    <x v="0"/>
    <x v="0"/>
    <x v="0"/>
    <n v="2"/>
  </r>
  <r>
    <s v="S169"/>
    <x v="5"/>
    <x v="0"/>
    <s v="Dissolution"/>
    <d v="2024-03-26T00:00:00"/>
    <d v="2024-03-30T00:00:00"/>
    <s v="Pass"/>
    <x v="0"/>
    <x v="1"/>
    <x v="1"/>
    <n v="4"/>
  </r>
  <r>
    <s v="S170"/>
    <x v="1"/>
    <x v="1"/>
    <s v="Impurity"/>
    <d v="2024-03-26T00:00:00"/>
    <d v="2024-03-31T00:00:00"/>
    <s v="Pass"/>
    <x v="1"/>
    <x v="0"/>
    <x v="0"/>
    <n v="4"/>
  </r>
  <r>
    <s v="S171"/>
    <x v="0"/>
    <x v="2"/>
    <s v="Assay"/>
    <d v="2024-03-27T00:00:00"/>
    <d v="2024-03-27T00:00:00"/>
    <s v="Pass"/>
    <x v="0"/>
    <x v="0"/>
    <x v="0"/>
    <n v="2"/>
  </r>
  <r>
    <s v="S172"/>
    <x v="3"/>
    <x v="3"/>
    <s v="Dissolution"/>
    <d v="2024-03-27T00:00:00"/>
    <d v="2024-03-29T00:00:00"/>
    <s v="Pass"/>
    <x v="0"/>
    <x v="0"/>
    <x v="0"/>
    <n v="3"/>
  </r>
  <r>
    <s v="S173"/>
    <x v="6"/>
    <x v="0"/>
    <s v="Impurity"/>
    <d v="2024-03-28T00:00:00"/>
    <d v="2024-04-01T00:00:00"/>
    <s v="Pass"/>
    <x v="1"/>
    <x v="0"/>
    <x v="0"/>
    <n v="4"/>
  </r>
  <r>
    <s v="S174"/>
    <x v="8"/>
    <x v="1"/>
    <s v="Assay"/>
    <d v="2024-03-28T00:00:00"/>
    <d v="2024-03-28T00:00:00"/>
    <s v="Pass"/>
    <x v="0"/>
    <x v="0"/>
    <x v="0"/>
    <n v="2"/>
  </r>
  <r>
    <s v="S175"/>
    <x v="4"/>
    <x v="2"/>
    <s v="Dissolution"/>
    <d v="2024-03-29T00:00:00"/>
    <d v="2024-04-02T00:00:00"/>
    <s v="Pass"/>
    <x v="0"/>
    <x v="1"/>
    <x v="1"/>
    <n v="4"/>
  </r>
  <r>
    <s v="S176"/>
    <x v="0"/>
    <x v="3"/>
    <s v="Impurity"/>
    <d v="2024-03-29T00:00:00"/>
    <d v="2024-04-03T00:00:00"/>
    <s v="Fail"/>
    <x v="1"/>
    <x v="0"/>
    <x v="2"/>
    <n v="5"/>
  </r>
  <r>
    <s v="S177"/>
    <x v="2"/>
    <x v="0"/>
    <s v="Assay"/>
    <d v="2024-03-30T00:00:00"/>
    <d v="2024-03-30T00:00:00"/>
    <s v="Pass"/>
    <x v="0"/>
    <x v="0"/>
    <x v="0"/>
    <n v="2"/>
  </r>
  <r>
    <s v="S178"/>
    <x v="7"/>
    <x v="1"/>
    <s v="Dissolution"/>
    <d v="2024-03-30T00:00:00"/>
    <d v="2024-04-01T00:00:00"/>
    <s v="Pass"/>
    <x v="0"/>
    <x v="0"/>
    <x v="0"/>
    <n v="3"/>
  </r>
  <r>
    <s v="S179"/>
    <x v="5"/>
    <x v="2"/>
    <s v="Impurity"/>
    <d v="2024-03-31T00:00:00"/>
    <d v="2024-04-04T00:00:00"/>
    <s v="Pass"/>
    <x v="1"/>
    <x v="0"/>
    <x v="0"/>
    <n v="4"/>
  </r>
  <r>
    <s v="S180"/>
    <x v="1"/>
    <x v="3"/>
    <s v="Assay"/>
    <d v="2024-03-31T00:00:00"/>
    <d v="2024-03-31T00:00:00"/>
    <s v="Pass"/>
    <x v="0"/>
    <x v="0"/>
    <x v="0"/>
    <n v="2"/>
  </r>
  <r>
    <s v="S181"/>
    <x v="4"/>
    <x v="0"/>
    <s v="Impurity"/>
    <d v="2024-04-01T00:00:00"/>
    <d v="2024-04-05T00:00:00"/>
    <s v="Pass"/>
    <x v="1"/>
    <x v="0"/>
    <x v="0"/>
    <n v="4"/>
  </r>
  <r>
    <s v="S182"/>
    <x v="6"/>
    <x v="1"/>
    <s v="Assay"/>
    <d v="2024-04-01T00:00:00"/>
    <d v="2024-04-01T00:00:00"/>
    <s v="Pass"/>
    <x v="0"/>
    <x v="0"/>
    <x v="0"/>
    <n v="2"/>
  </r>
  <r>
    <s v="S183"/>
    <x v="3"/>
    <x v="2"/>
    <s v="Dissolution"/>
    <d v="2024-04-02T00:00:00"/>
    <d v="2024-04-06T00:00:00"/>
    <s v="Pass"/>
    <x v="0"/>
    <x v="1"/>
    <x v="1"/>
    <n v="4"/>
  </r>
  <r>
    <s v="S184"/>
    <x v="8"/>
    <x v="3"/>
    <s v="Impurity"/>
    <d v="2024-04-02T00:00:00"/>
    <d v="2024-04-07T00:00:00"/>
    <s v="Fail"/>
    <x v="1"/>
    <x v="0"/>
    <x v="2"/>
    <n v="5"/>
  </r>
  <r>
    <s v="S185"/>
    <x v="0"/>
    <x v="0"/>
    <s v="Assay"/>
    <d v="2024-04-03T00:00:00"/>
    <d v="2024-04-03T00:00:00"/>
    <s v="Pass"/>
    <x v="0"/>
    <x v="0"/>
    <x v="0"/>
    <n v="2"/>
  </r>
  <r>
    <s v="S186"/>
    <x v="4"/>
    <x v="1"/>
    <s v="Dissolution"/>
    <d v="2024-04-03T00:00:00"/>
    <d v="2024-04-05T00:00:00"/>
    <s v="Pass"/>
    <x v="0"/>
    <x v="0"/>
    <x v="0"/>
    <n v="3"/>
  </r>
  <r>
    <s v="S187"/>
    <x v="2"/>
    <x v="2"/>
    <s v="Impurity"/>
    <d v="2024-04-04T00:00:00"/>
    <d v="2024-04-08T00:00:00"/>
    <s v="Pass"/>
    <x v="1"/>
    <x v="0"/>
    <x v="0"/>
    <n v="4"/>
  </r>
  <r>
    <s v="S188"/>
    <x v="7"/>
    <x v="3"/>
    <s v="Assay"/>
    <d v="2024-04-04T00:00:00"/>
    <d v="2024-04-04T00:00:00"/>
    <s v="Pass"/>
    <x v="0"/>
    <x v="0"/>
    <x v="0"/>
    <n v="2"/>
  </r>
  <r>
    <s v="S189"/>
    <x v="5"/>
    <x v="0"/>
    <s v="Dissolution"/>
    <d v="2024-04-05T00:00:00"/>
    <d v="2024-04-09T00:00:00"/>
    <s v="Pass"/>
    <x v="0"/>
    <x v="1"/>
    <x v="1"/>
    <n v="4"/>
  </r>
  <r>
    <s v="S190"/>
    <x v="1"/>
    <x v="1"/>
    <s v="Impurity"/>
    <d v="2024-04-05T00:00:00"/>
    <d v="2024-04-10T00:00:00"/>
    <s v="Pass"/>
    <x v="1"/>
    <x v="0"/>
    <x v="0"/>
    <n v="4"/>
  </r>
  <r>
    <s v="S191"/>
    <x v="0"/>
    <x v="2"/>
    <s v="Assay"/>
    <d v="2024-04-06T00:00:00"/>
    <d v="2024-04-06T00:00:00"/>
    <s v="Pass"/>
    <x v="0"/>
    <x v="0"/>
    <x v="0"/>
    <n v="2"/>
  </r>
  <r>
    <s v="S192"/>
    <x v="3"/>
    <x v="3"/>
    <s v="Dissolution"/>
    <d v="2024-04-06T00:00:00"/>
    <d v="2024-04-08T00:00:00"/>
    <s v="Pass"/>
    <x v="0"/>
    <x v="0"/>
    <x v="0"/>
    <n v="3"/>
  </r>
  <r>
    <s v="S193"/>
    <x v="6"/>
    <x v="0"/>
    <s v="Impurity"/>
    <d v="2024-04-07T00:00:00"/>
    <d v="2024-04-11T00:00:00"/>
    <s v="Pass"/>
    <x v="1"/>
    <x v="0"/>
    <x v="0"/>
    <n v="4"/>
  </r>
  <r>
    <s v="S194"/>
    <x v="8"/>
    <x v="1"/>
    <s v="Assay"/>
    <d v="2024-04-07T00:00:00"/>
    <d v="2024-04-07T00:00:00"/>
    <s v="Pass"/>
    <x v="0"/>
    <x v="0"/>
    <x v="0"/>
    <n v="2"/>
  </r>
  <r>
    <s v="S195"/>
    <x v="4"/>
    <x v="2"/>
    <s v="Dissolution"/>
    <d v="2024-04-08T00:00:00"/>
    <d v="2024-04-12T00:00:00"/>
    <s v="Pass"/>
    <x v="0"/>
    <x v="1"/>
    <x v="1"/>
    <n v="4"/>
  </r>
  <r>
    <s v="S196"/>
    <x v="0"/>
    <x v="3"/>
    <s v="Impurity"/>
    <d v="2024-04-08T00:00:00"/>
    <d v="2024-04-13T00:00:00"/>
    <s v="Fail"/>
    <x v="1"/>
    <x v="0"/>
    <x v="2"/>
    <n v="5"/>
  </r>
  <r>
    <s v="S197"/>
    <x v="2"/>
    <x v="0"/>
    <s v="Assay"/>
    <d v="2024-04-09T00:00:00"/>
    <d v="2024-04-09T00:00:00"/>
    <s v="Pass"/>
    <x v="0"/>
    <x v="0"/>
    <x v="0"/>
    <n v="2"/>
  </r>
  <r>
    <s v="S198"/>
    <x v="7"/>
    <x v="1"/>
    <s v="Dissolution"/>
    <d v="2024-04-09T00:00:00"/>
    <d v="2024-04-11T00:00:00"/>
    <s v="Pass"/>
    <x v="0"/>
    <x v="0"/>
    <x v="0"/>
    <n v="3"/>
  </r>
  <r>
    <s v="S199"/>
    <x v="5"/>
    <x v="2"/>
    <s v="Impurity"/>
    <d v="2024-04-10T00:00:00"/>
    <d v="2024-04-14T00:00:00"/>
    <s v="Pass"/>
    <x v="1"/>
    <x v="0"/>
    <x v="0"/>
    <n v="4"/>
  </r>
  <r>
    <s v="S200"/>
    <x v="1"/>
    <x v="3"/>
    <s v="Assay"/>
    <d v="2024-04-10T00:00:00"/>
    <d v="2024-04-10T00:00:00"/>
    <s v="Pass"/>
    <x v="0"/>
    <x v="0"/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G3:I11" firstHeaderRow="0" firstDataRow="1" firstDataCol="1" rowPageCount="1" colPageCount="1"/>
  <pivotFields count="11">
    <pivotField dataField="1" showAll="0"/>
    <pivotField axis="axisRow" showAll="0">
      <items count="10">
        <item x="3"/>
        <item x="7"/>
        <item x="5"/>
        <item x="8"/>
        <item x="2"/>
        <item x="6"/>
        <item x="0"/>
        <item x="1"/>
        <item x="4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"/>
  </rowFields>
  <rowItems count="8">
    <i>
      <x/>
    </i>
    <i>
      <x v="2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Count of Missing_Data" fld="8" subtotal="count" baseField="1" baseItem="0"/>
    <dataField name="Count of Sampl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J3:L13" firstHeaderRow="0" firstDataRow="1" firstDataCol="1" rowPageCount="1" colPageCount="1"/>
  <pivotFields count="11">
    <pivotField dataField="1" showAll="0"/>
    <pivotField axis="axisRow" showAll="0">
      <items count="10">
        <item x="3"/>
        <item x="7"/>
        <item x="5"/>
        <item x="8"/>
        <item x="2"/>
        <item x="6"/>
        <item x="0"/>
        <item x="1"/>
        <item x="4"/>
        <item t="default"/>
      </items>
    </pivotField>
    <pivotField showAll="0"/>
    <pivotField showAll="0"/>
    <pivotField numFmtId="14" showAll="0"/>
    <pivotField numFmtId="14" showAll="0"/>
    <pivotField showAll="0"/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Count of Correction_Made" fld="7" subtotal="count" baseField="0" baseItem="0"/>
    <dataField name="Count of Sampl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10:B14" firstHeaderRow="1" firstDataRow="1" firstDataCol="1"/>
  <pivotFields count="11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mple_ID" fld="0" subtotal="count" baseField="0" baseItem="0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D3:E8" firstHeaderRow="1" firstDataRow="1" firstDataCol="1" rowPageCount="1" colPageCount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/>
    <pivotField numFmtId="14" showAll="0"/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item="1" hier="-1"/>
  </pageFields>
  <dataFields count="1">
    <dataField name="Count of Correction_Made" fld="7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8" firstHeaderRow="1" firstDataRow="1" firstDataCol="1" rowPageCount="1" colPageCount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Count of Missing_Data" fld="8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201" totalsRowShown="0">
  <autoFilter ref="A1:K201"/>
  <tableColumns count="11">
    <tableColumn id="1" name="Sample_ID"/>
    <tableColumn id="2" name="Product"/>
    <tableColumn id="3" name="Analyst"/>
    <tableColumn id="4" name="Test_Type"/>
    <tableColumn id="5" name="Test_Date" dataDxfId="10"/>
    <tableColumn id="6" name="Entry_Date" dataDxfId="9"/>
    <tableColumn id="7" name="Result_Status"/>
    <tableColumn id="8" name="Correction_Made"/>
    <tableColumn id="9" name="Missing_Data"/>
    <tableColumn id="10" name="Review_Status"/>
    <tableColumn id="11" name="Turnaround_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G16:I25" totalsRowShown="0" headerRowDxfId="8">
  <autoFilter ref="G16:I25"/>
  <tableColumns count="3">
    <tableColumn id="1" name="Product" dataDxfId="7"/>
    <tableColumn id="2" name="Missing Data" dataDxfId="6"/>
    <tableColumn id="3" name="Corrections Mad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6:D20" totalsRowShown="0" headerRowDxfId="4" headerRowBorderDxfId="3" tableBorderDxfId="2">
  <autoFilter ref="A16:D20"/>
  <tableColumns count="4">
    <tableColumn id="1" name="Analyst"/>
    <tableColumn id="2" name="Missing Data" dataDxfId="1"/>
    <tableColumn id="3" name="Corrections" dataDxfId="0"/>
    <tableColumn id="4" name="Risk Score">
      <calculatedColumnFormula>SUM(B17:C17)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3" workbookViewId="0">
      <selection activeCell="G25" sqref="G25"/>
    </sheetView>
  </sheetViews>
  <sheetFormatPr defaultRowHeight="15" x14ac:dyDescent="0.25"/>
  <cols>
    <col min="1" max="1" width="12.7109375" customWidth="1"/>
    <col min="2" max="2" width="14.42578125" customWidth="1"/>
    <col min="3" max="3" width="9.7109375" customWidth="1"/>
    <col min="4" max="4" width="12.140625" customWidth="1"/>
    <col min="5" max="5" width="14.5703125" customWidth="1"/>
    <col min="6" max="6" width="12.85546875" customWidth="1"/>
    <col min="7" max="7" width="15.140625" customWidth="1"/>
    <col min="8" max="8" width="18.5703125" customWidth="1"/>
    <col min="9" max="9" width="15" customWidth="1"/>
    <col min="10" max="10" width="16.140625" customWidth="1"/>
    <col min="11" max="11" width="18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45293</v>
      </c>
      <c r="F2" s="1">
        <v>45293</v>
      </c>
      <c r="G2" t="s">
        <v>15</v>
      </c>
      <c r="H2" t="s">
        <v>16</v>
      </c>
      <c r="I2" t="s">
        <v>16</v>
      </c>
      <c r="J2" t="s">
        <v>17</v>
      </c>
      <c r="K2">
        <v>2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s="1">
        <v>45293</v>
      </c>
      <c r="F3" s="1">
        <v>45294</v>
      </c>
      <c r="G3" t="s">
        <v>15</v>
      </c>
      <c r="H3" t="s">
        <v>16</v>
      </c>
      <c r="I3" t="s">
        <v>16</v>
      </c>
      <c r="J3" t="s">
        <v>17</v>
      </c>
      <c r="K3">
        <v>3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s="1">
        <v>45294</v>
      </c>
      <c r="F4" s="1">
        <v>45296</v>
      </c>
      <c r="G4" t="s">
        <v>15</v>
      </c>
      <c r="H4" t="s">
        <v>26</v>
      </c>
      <c r="I4" t="s">
        <v>16</v>
      </c>
      <c r="J4" t="s">
        <v>17</v>
      </c>
      <c r="K4">
        <v>4</v>
      </c>
    </row>
    <row r="5" spans="1:11" x14ac:dyDescent="0.25">
      <c r="A5" t="s">
        <v>27</v>
      </c>
      <c r="B5" t="s">
        <v>12</v>
      </c>
      <c r="C5" t="s">
        <v>13</v>
      </c>
      <c r="D5" t="s">
        <v>14</v>
      </c>
      <c r="E5" s="1">
        <v>45295</v>
      </c>
      <c r="F5" s="1">
        <v>45295</v>
      </c>
      <c r="G5" t="s">
        <v>15</v>
      </c>
      <c r="H5" t="s">
        <v>16</v>
      </c>
      <c r="I5" t="s">
        <v>16</v>
      </c>
      <c r="J5" t="s">
        <v>17</v>
      </c>
      <c r="K5">
        <v>2</v>
      </c>
    </row>
    <row r="6" spans="1:11" x14ac:dyDescent="0.25">
      <c r="A6" t="s">
        <v>28</v>
      </c>
      <c r="B6" t="s">
        <v>29</v>
      </c>
      <c r="C6" t="s">
        <v>30</v>
      </c>
      <c r="D6" t="s">
        <v>21</v>
      </c>
      <c r="E6" s="1">
        <v>45295</v>
      </c>
      <c r="F6" s="1">
        <v>45298</v>
      </c>
      <c r="G6" t="s">
        <v>31</v>
      </c>
      <c r="H6" t="s">
        <v>26</v>
      </c>
      <c r="I6" t="s">
        <v>16</v>
      </c>
      <c r="J6" t="s">
        <v>32</v>
      </c>
      <c r="K6">
        <v>5</v>
      </c>
    </row>
    <row r="7" spans="1:11" x14ac:dyDescent="0.25">
      <c r="A7" t="s">
        <v>33</v>
      </c>
      <c r="B7" t="s">
        <v>19</v>
      </c>
      <c r="C7" t="s">
        <v>20</v>
      </c>
      <c r="D7" t="s">
        <v>14</v>
      </c>
      <c r="E7" s="1">
        <v>45296</v>
      </c>
      <c r="F7" s="1">
        <v>45296</v>
      </c>
      <c r="G7" t="s">
        <v>15</v>
      </c>
      <c r="H7" t="s">
        <v>16</v>
      </c>
      <c r="I7" t="s">
        <v>16</v>
      </c>
      <c r="J7" t="s">
        <v>17</v>
      </c>
      <c r="K7">
        <v>2</v>
      </c>
    </row>
    <row r="8" spans="1:11" x14ac:dyDescent="0.25">
      <c r="A8" t="s">
        <v>34</v>
      </c>
      <c r="B8" t="s">
        <v>23</v>
      </c>
      <c r="C8" t="s">
        <v>24</v>
      </c>
      <c r="D8" t="s">
        <v>25</v>
      </c>
      <c r="E8" s="1">
        <v>45297</v>
      </c>
      <c r="F8" s="1">
        <v>45299</v>
      </c>
      <c r="G8" t="s">
        <v>15</v>
      </c>
      <c r="H8" t="s">
        <v>16</v>
      </c>
      <c r="I8" t="s">
        <v>26</v>
      </c>
      <c r="J8" t="s">
        <v>17</v>
      </c>
      <c r="K8">
        <v>4</v>
      </c>
    </row>
    <row r="9" spans="1:11" x14ac:dyDescent="0.25">
      <c r="A9" t="s">
        <v>35</v>
      </c>
      <c r="B9" t="s">
        <v>12</v>
      </c>
      <c r="C9" t="s">
        <v>13</v>
      </c>
      <c r="D9" t="s">
        <v>14</v>
      </c>
      <c r="E9" s="1">
        <v>45297</v>
      </c>
      <c r="F9" s="1">
        <v>45297</v>
      </c>
      <c r="G9" t="s">
        <v>15</v>
      </c>
      <c r="H9" t="s">
        <v>16</v>
      </c>
      <c r="I9" t="s">
        <v>16</v>
      </c>
      <c r="J9" t="s">
        <v>17</v>
      </c>
      <c r="K9">
        <v>2</v>
      </c>
    </row>
    <row r="10" spans="1:11" x14ac:dyDescent="0.25">
      <c r="A10" t="s">
        <v>36</v>
      </c>
      <c r="B10" t="s">
        <v>29</v>
      </c>
      <c r="C10" t="s">
        <v>30</v>
      </c>
      <c r="D10" t="s">
        <v>21</v>
      </c>
      <c r="E10" s="1">
        <v>45298</v>
      </c>
      <c r="F10" s="1">
        <v>45300</v>
      </c>
      <c r="G10" t="s">
        <v>15</v>
      </c>
      <c r="H10" t="s">
        <v>16</v>
      </c>
      <c r="I10" t="s">
        <v>16</v>
      </c>
      <c r="J10" t="s">
        <v>17</v>
      </c>
      <c r="K10">
        <v>3</v>
      </c>
    </row>
    <row r="11" spans="1:11" x14ac:dyDescent="0.25">
      <c r="A11" t="s">
        <v>37</v>
      </c>
      <c r="B11" t="s">
        <v>19</v>
      </c>
      <c r="C11" t="s">
        <v>20</v>
      </c>
      <c r="D11" t="s">
        <v>25</v>
      </c>
      <c r="E11" s="1">
        <v>45298</v>
      </c>
      <c r="F11" s="1">
        <v>45301</v>
      </c>
      <c r="G11" t="s">
        <v>31</v>
      </c>
      <c r="H11" t="s">
        <v>26</v>
      </c>
      <c r="I11" t="s">
        <v>16</v>
      </c>
      <c r="J11" t="s">
        <v>38</v>
      </c>
      <c r="K11">
        <v>4</v>
      </c>
    </row>
    <row r="12" spans="1:11" x14ac:dyDescent="0.25">
      <c r="A12" t="s">
        <v>39</v>
      </c>
      <c r="B12" t="s">
        <v>23</v>
      </c>
      <c r="C12" t="s">
        <v>24</v>
      </c>
      <c r="D12" t="s">
        <v>14</v>
      </c>
      <c r="E12" s="1">
        <v>45299</v>
      </c>
      <c r="F12" s="1">
        <v>45299</v>
      </c>
      <c r="G12" t="s">
        <v>15</v>
      </c>
      <c r="H12" t="s">
        <v>16</v>
      </c>
      <c r="I12" t="s">
        <v>16</v>
      </c>
      <c r="J12" t="s">
        <v>17</v>
      </c>
      <c r="K12">
        <v>2</v>
      </c>
    </row>
    <row r="13" spans="1:11" x14ac:dyDescent="0.25">
      <c r="A13" t="s">
        <v>40</v>
      </c>
      <c r="B13" t="s">
        <v>12</v>
      </c>
      <c r="C13" t="s">
        <v>13</v>
      </c>
      <c r="D13" t="s">
        <v>21</v>
      </c>
      <c r="E13" s="1">
        <v>45300</v>
      </c>
      <c r="F13" s="1">
        <v>45302</v>
      </c>
      <c r="G13" t="s">
        <v>15</v>
      </c>
      <c r="H13" t="s">
        <v>16</v>
      </c>
      <c r="I13" t="s">
        <v>16</v>
      </c>
      <c r="J13" t="s">
        <v>17</v>
      </c>
      <c r="K13">
        <v>3</v>
      </c>
    </row>
    <row r="14" spans="1:11" x14ac:dyDescent="0.25">
      <c r="A14" t="s">
        <v>41</v>
      </c>
      <c r="B14" t="s">
        <v>29</v>
      </c>
      <c r="C14" t="s">
        <v>30</v>
      </c>
      <c r="D14" t="s">
        <v>14</v>
      </c>
      <c r="E14" s="1">
        <v>45300</v>
      </c>
      <c r="F14" s="1">
        <v>45303</v>
      </c>
      <c r="G14" t="s">
        <v>15</v>
      </c>
      <c r="H14" t="s">
        <v>26</v>
      </c>
      <c r="I14" t="s">
        <v>16</v>
      </c>
      <c r="J14" t="s">
        <v>17</v>
      </c>
      <c r="K14">
        <v>4</v>
      </c>
    </row>
    <row r="15" spans="1:11" x14ac:dyDescent="0.25">
      <c r="A15" t="s">
        <v>42</v>
      </c>
      <c r="B15" t="s">
        <v>19</v>
      </c>
      <c r="C15" t="s">
        <v>20</v>
      </c>
      <c r="D15" t="s">
        <v>25</v>
      </c>
      <c r="E15" s="1">
        <v>45301</v>
      </c>
      <c r="F15" s="1">
        <v>45301</v>
      </c>
      <c r="G15" t="s">
        <v>15</v>
      </c>
      <c r="H15" t="s">
        <v>16</v>
      </c>
      <c r="I15" t="s">
        <v>16</v>
      </c>
      <c r="J15" t="s">
        <v>17</v>
      </c>
      <c r="K15">
        <v>2</v>
      </c>
    </row>
    <row r="16" spans="1:11" x14ac:dyDescent="0.25">
      <c r="A16" t="s">
        <v>43</v>
      </c>
      <c r="B16" t="s">
        <v>23</v>
      </c>
      <c r="C16" t="s">
        <v>24</v>
      </c>
      <c r="D16" t="s">
        <v>21</v>
      </c>
      <c r="E16" s="1">
        <v>45301</v>
      </c>
      <c r="F16" s="1">
        <v>45304</v>
      </c>
      <c r="G16" t="s">
        <v>15</v>
      </c>
      <c r="H16" t="s">
        <v>16</v>
      </c>
      <c r="I16" t="s">
        <v>26</v>
      </c>
      <c r="J16" t="s">
        <v>32</v>
      </c>
      <c r="K16">
        <v>4</v>
      </c>
    </row>
    <row r="17" spans="1:11" x14ac:dyDescent="0.25">
      <c r="A17" t="s">
        <v>44</v>
      </c>
      <c r="B17" t="s">
        <v>12</v>
      </c>
      <c r="C17" t="s">
        <v>13</v>
      </c>
      <c r="D17" t="s">
        <v>14</v>
      </c>
      <c r="E17" s="1">
        <v>45302</v>
      </c>
      <c r="F17" s="1">
        <v>45302</v>
      </c>
      <c r="G17" t="s">
        <v>15</v>
      </c>
      <c r="H17" t="s">
        <v>16</v>
      </c>
      <c r="I17" t="s">
        <v>16</v>
      </c>
      <c r="J17" t="s">
        <v>17</v>
      </c>
      <c r="K17">
        <v>2</v>
      </c>
    </row>
    <row r="18" spans="1:11" x14ac:dyDescent="0.25">
      <c r="A18" t="s">
        <v>45</v>
      </c>
      <c r="B18" t="s">
        <v>29</v>
      </c>
      <c r="C18" t="s">
        <v>30</v>
      </c>
      <c r="D18" t="s">
        <v>25</v>
      </c>
      <c r="E18" s="1">
        <v>45302</v>
      </c>
      <c r="F18" s="1">
        <v>45305</v>
      </c>
      <c r="G18" t="s">
        <v>31</v>
      </c>
      <c r="H18" t="s">
        <v>26</v>
      </c>
      <c r="I18" t="s">
        <v>16</v>
      </c>
      <c r="J18" t="s">
        <v>38</v>
      </c>
      <c r="K18">
        <v>5</v>
      </c>
    </row>
    <row r="19" spans="1:11" x14ac:dyDescent="0.25">
      <c r="A19" t="s">
        <v>46</v>
      </c>
      <c r="B19" t="s">
        <v>19</v>
      </c>
      <c r="C19" t="s">
        <v>20</v>
      </c>
      <c r="D19" t="s">
        <v>14</v>
      </c>
      <c r="E19" s="1">
        <v>45303</v>
      </c>
      <c r="F19" s="1">
        <v>45303</v>
      </c>
      <c r="G19" t="s">
        <v>15</v>
      </c>
      <c r="H19" t="s">
        <v>16</v>
      </c>
      <c r="I19" t="s">
        <v>16</v>
      </c>
      <c r="J19" t="s">
        <v>17</v>
      </c>
      <c r="K19">
        <v>2</v>
      </c>
    </row>
    <row r="20" spans="1:11" x14ac:dyDescent="0.25">
      <c r="A20" t="s">
        <v>47</v>
      </c>
      <c r="B20" t="s">
        <v>23</v>
      </c>
      <c r="C20" t="s">
        <v>24</v>
      </c>
      <c r="D20" t="s">
        <v>21</v>
      </c>
      <c r="E20" s="1">
        <v>45303</v>
      </c>
      <c r="F20" s="1">
        <v>45306</v>
      </c>
      <c r="G20" t="s">
        <v>15</v>
      </c>
      <c r="H20" t="s">
        <v>16</v>
      </c>
      <c r="I20" t="s">
        <v>16</v>
      </c>
      <c r="J20" t="s">
        <v>17</v>
      </c>
      <c r="K20">
        <v>4</v>
      </c>
    </row>
    <row r="21" spans="1:11" x14ac:dyDescent="0.25">
      <c r="A21" t="s">
        <v>48</v>
      </c>
      <c r="B21" t="s">
        <v>12</v>
      </c>
      <c r="C21" t="s">
        <v>13</v>
      </c>
      <c r="D21" t="s">
        <v>25</v>
      </c>
      <c r="E21" s="1">
        <v>45304</v>
      </c>
      <c r="F21" s="1">
        <v>45307</v>
      </c>
      <c r="G21" t="s">
        <v>15</v>
      </c>
      <c r="H21" t="s">
        <v>26</v>
      </c>
      <c r="I21" t="s">
        <v>16</v>
      </c>
      <c r="J21" t="s">
        <v>17</v>
      </c>
      <c r="K21">
        <v>4</v>
      </c>
    </row>
    <row r="22" spans="1:11" x14ac:dyDescent="0.25">
      <c r="A22" t="s">
        <v>49</v>
      </c>
      <c r="B22" s="3" t="s">
        <v>12</v>
      </c>
      <c r="C22" t="s">
        <v>20</v>
      </c>
      <c r="D22" t="s">
        <v>14</v>
      </c>
      <c r="E22" s="1">
        <v>45304</v>
      </c>
      <c r="F22" s="1">
        <v>45304</v>
      </c>
      <c r="G22" t="s">
        <v>15</v>
      </c>
      <c r="H22" t="s">
        <v>16</v>
      </c>
      <c r="I22" t="s">
        <v>16</v>
      </c>
      <c r="J22" t="s">
        <v>17</v>
      </c>
      <c r="K22">
        <v>2</v>
      </c>
    </row>
    <row r="23" spans="1:11" x14ac:dyDescent="0.25">
      <c r="A23" t="s">
        <v>50</v>
      </c>
      <c r="B23" t="s">
        <v>19</v>
      </c>
      <c r="C23" t="s">
        <v>24</v>
      </c>
      <c r="D23" t="s">
        <v>21</v>
      </c>
      <c r="E23" s="1">
        <v>45305</v>
      </c>
      <c r="F23" s="1">
        <v>45307</v>
      </c>
      <c r="G23" t="s">
        <v>15</v>
      </c>
      <c r="H23" t="s">
        <v>16</v>
      </c>
      <c r="I23" t="s">
        <v>16</v>
      </c>
      <c r="J23" t="s">
        <v>17</v>
      </c>
      <c r="K23">
        <v>3</v>
      </c>
    </row>
    <row r="24" spans="1:11" x14ac:dyDescent="0.25">
      <c r="A24" t="s">
        <v>51</v>
      </c>
      <c r="B24" t="s">
        <v>23</v>
      </c>
      <c r="C24" t="s">
        <v>13</v>
      </c>
      <c r="D24" t="s">
        <v>25</v>
      </c>
      <c r="E24" s="1">
        <v>45305</v>
      </c>
      <c r="F24" s="1">
        <v>45309</v>
      </c>
      <c r="G24" t="s">
        <v>15</v>
      </c>
      <c r="H24" t="s">
        <v>26</v>
      </c>
      <c r="I24" t="s">
        <v>16</v>
      </c>
      <c r="J24" t="s">
        <v>17</v>
      </c>
      <c r="K24">
        <v>4</v>
      </c>
    </row>
    <row r="25" spans="1:11" x14ac:dyDescent="0.25">
      <c r="A25" t="s">
        <v>52</v>
      </c>
      <c r="B25" t="s">
        <v>29</v>
      </c>
      <c r="C25" t="s">
        <v>30</v>
      </c>
      <c r="D25" t="s">
        <v>14</v>
      </c>
      <c r="E25" s="1">
        <v>45306</v>
      </c>
      <c r="F25" s="1">
        <v>45306</v>
      </c>
      <c r="G25" t="s">
        <v>15</v>
      </c>
      <c r="H25" t="s">
        <v>16</v>
      </c>
      <c r="I25" t="s">
        <v>16</v>
      </c>
      <c r="J25" t="s">
        <v>17</v>
      </c>
      <c r="K25">
        <v>2</v>
      </c>
    </row>
    <row r="26" spans="1:11" x14ac:dyDescent="0.25">
      <c r="A26" t="s">
        <v>53</v>
      </c>
      <c r="B26" t="s">
        <v>19</v>
      </c>
      <c r="C26" t="s">
        <v>20</v>
      </c>
      <c r="D26" t="s">
        <v>21</v>
      </c>
      <c r="E26" s="1">
        <v>45306</v>
      </c>
      <c r="F26" s="1">
        <v>45308</v>
      </c>
      <c r="G26" t="s">
        <v>31</v>
      </c>
      <c r="H26" t="s">
        <v>26</v>
      </c>
      <c r="I26" t="s">
        <v>16</v>
      </c>
      <c r="J26" t="s">
        <v>32</v>
      </c>
      <c r="K26">
        <v>4</v>
      </c>
    </row>
    <row r="27" spans="1:11" x14ac:dyDescent="0.25">
      <c r="A27" t="s">
        <v>54</v>
      </c>
      <c r="B27" t="s">
        <v>23</v>
      </c>
      <c r="C27" t="s">
        <v>24</v>
      </c>
      <c r="D27" t="s">
        <v>14</v>
      </c>
      <c r="E27" s="1">
        <v>45307</v>
      </c>
      <c r="F27" s="1">
        <v>45307</v>
      </c>
      <c r="G27" t="s">
        <v>15</v>
      </c>
      <c r="H27" t="s">
        <v>16</v>
      </c>
      <c r="I27" t="s">
        <v>16</v>
      </c>
      <c r="J27" t="s">
        <v>17</v>
      </c>
      <c r="K27">
        <v>2</v>
      </c>
    </row>
    <row r="28" spans="1:11" x14ac:dyDescent="0.25">
      <c r="A28" t="s">
        <v>55</v>
      </c>
      <c r="B28" t="s">
        <v>12</v>
      </c>
      <c r="C28" t="s">
        <v>13</v>
      </c>
      <c r="D28" t="s">
        <v>25</v>
      </c>
      <c r="E28" s="1">
        <v>45307</v>
      </c>
      <c r="F28" s="1">
        <v>45310</v>
      </c>
      <c r="G28" t="s">
        <v>15</v>
      </c>
      <c r="H28" t="s">
        <v>16</v>
      </c>
      <c r="I28" t="s">
        <v>26</v>
      </c>
      <c r="J28" t="s">
        <v>17</v>
      </c>
      <c r="K28">
        <v>4</v>
      </c>
    </row>
    <row r="29" spans="1:11" x14ac:dyDescent="0.25">
      <c r="A29" t="s">
        <v>56</v>
      </c>
      <c r="B29" t="s">
        <v>29</v>
      </c>
      <c r="C29" t="s">
        <v>20</v>
      </c>
      <c r="D29" t="s">
        <v>21</v>
      </c>
      <c r="E29" s="1">
        <v>45308</v>
      </c>
      <c r="F29" s="1">
        <v>45311</v>
      </c>
      <c r="G29" t="s">
        <v>15</v>
      </c>
      <c r="H29" t="s">
        <v>16</v>
      </c>
      <c r="I29" t="s">
        <v>16</v>
      </c>
      <c r="J29" t="s">
        <v>17</v>
      </c>
      <c r="K29">
        <v>3</v>
      </c>
    </row>
    <row r="30" spans="1:11" x14ac:dyDescent="0.25">
      <c r="A30" t="s">
        <v>57</v>
      </c>
      <c r="B30" t="s">
        <v>19</v>
      </c>
      <c r="C30" t="s">
        <v>30</v>
      </c>
      <c r="D30" t="s">
        <v>14</v>
      </c>
      <c r="E30" s="1">
        <v>45308</v>
      </c>
      <c r="F30" s="1">
        <v>45308</v>
      </c>
      <c r="G30" t="s">
        <v>15</v>
      </c>
      <c r="H30" t="s">
        <v>16</v>
      </c>
      <c r="I30" t="s">
        <v>16</v>
      </c>
      <c r="J30" t="s">
        <v>17</v>
      </c>
      <c r="K30">
        <v>2</v>
      </c>
    </row>
    <row r="31" spans="1:11" x14ac:dyDescent="0.25">
      <c r="A31" t="s">
        <v>58</v>
      </c>
      <c r="B31" t="s">
        <v>23</v>
      </c>
      <c r="C31" t="s">
        <v>24</v>
      </c>
      <c r="D31" t="s">
        <v>25</v>
      </c>
      <c r="E31" s="1">
        <v>45309</v>
      </c>
      <c r="F31" s="1">
        <v>45312</v>
      </c>
      <c r="G31" t="s">
        <v>31</v>
      </c>
      <c r="H31" t="s">
        <v>26</v>
      </c>
      <c r="I31" t="s">
        <v>16</v>
      </c>
      <c r="J31" t="s">
        <v>38</v>
      </c>
      <c r="K31">
        <v>5</v>
      </c>
    </row>
    <row r="32" spans="1:11" x14ac:dyDescent="0.25">
      <c r="A32" t="s">
        <v>59</v>
      </c>
      <c r="B32" t="s">
        <v>12</v>
      </c>
      <c r="C32" t="s">
        <v>20</v>
      </c>
      <c r="D32" t="s">
        <v>14</v>
      </c>
      <c r="E32" s="1">
        <v>45309</v>
      </c>
      <c r="F32" s="1">
        <v>45309</v>
      </c>
      <c r="G32" t="s">
        <v>15</v>
      </c>
      <c r="H32" t="s">
        <v>16</v>
      </c>
      <c r="I32" t="s">
        <v>16</v>
      </c>
      <c r="J32" t="s">
        <v>17</v>
      </c>
      <c r="K32">
        <v>2</v>
      </c>
    </row>
    <row r="33" spans="1:11" x14ac:dyDescent="0.25">
      <c r="A33" t="s">
        <v>60</v>
      </c>
      <c r="B33" t="s">
        <v>19</v>
      </c>
      <c r="C33" t="s">
        <v>13</v>
      </c>
      <c r="D33" t="s">
        <v>21</v>
      </c>
      <c r="E33" s="1">
        <v>45310</v>
      </c>
      <c r="F33" s="1">
        <v>45313</v>
      </c>
      <c r="G33" t="s">
        <v>15</v>
      </c>
      <c r="H33" t="s">
        <v>16</v>
      </c>
      <c r="I33" t="s">
        <v>16</v>
      </c>
      <c r="J33" t="s">
        <v>17</v>
      </c>
      <c r="K33">
        <v>4</v>
      </c>
    </row>
    <row r="34" spans="1:11" x14ac:dyDescent="0.25">
      <c r="A34" t="s">
        <v>61</v>
      </c>
      <c r="B34" t="s">
        <v>29</v>
      </c>
      <c r="C34" t="s">
        <v>30</v>
      </c>
      <c r="D34" t="s">
        <v>14</v>
      </c>
      <c r="E34" s="1">
        <v>45310</v>
      </c>
      <c r="F34" s="1">
        <v>45314</v>
      </c>
      <c r="G34" t="s">
        <v>15</v>
      </c>
      <c r="H34" t="s">
        <v>26</v>
      </c>
      <c r="I34" t="s">
        <v>16</v>
      </c>
      <c r="J34" t="s">
        <v>17</v>
      </c>
      <c r="K34">
        <v>4</v>
      </c>
    </row>
    <row r="35" spans="1:11" x14ac:dyDescent="0.25">
      <c r="A35" t="s">
        <v>62</v>
      </c>
      <c r="B35" t="s">
        <v>23</v>
      </c>
      <c r="C35" t="s">
        <v>24</v>
      </c>
      <c r="D35" t="s">
        <v>25</v>
      </c>
      <c r="E35" s="1">
        <v>45311</v>
      </c>
      <c r="F35" s="1">
        <v>45311</v>
      </c>
      <c r="G35" t="s">
        <v>15</v>
      </c>
      <c r="H35" t="s">
        <v>16</v>
      </c>
      <c r="I35" t="s">
        <v>16</v>
      </c>
      <c r="J35" t="s">
        <v>17</v>
      </c>
      <c r="K35">
        <v>2</v>
      </c>
    </row>
    <row r="36" spans="1:11" x14ac:dyDescent="0.25">
      <c r="A36" t="s">
        <v>63</v>
      </c>
      <c r="B36" t="s">
        <v>12</v>
      </c>
      <c r="C36" t="s">
        <v>20</v>
      </c>
      <c r="D36" t="s">
        <v>21</v>
      </c>
      <c r="E36" s="1">
        <v>45311</v>
      </c>
      <c r="F36" s="1">
        <v>45315</v>
      </c>
      <c r="G36" t="s">
        <v>15</v>
      </c>
      <c r="H36" t="s">
        <v>16</v>
      </c>
      <c r="I36" t="s">
        <v>26</v>
      </c>
      <c r="J36" t="s">
        <v>32</v>
      </c>
      <c r="K36">
        <v>5</v>
      </c>
    </row>
    <row r="37" spans="1:11" x14ac:dyDescent="0.25">
      <c r="A37" t="s">
        <v>64</v>
      </c>
      <c r="B37" t="s">
        <v>19</v>
      </c>
      <c r="C37" t="s">
        <v>13</v>
      </c>
      <c r="D37" t="s">
        <v>14</v>
      </c>
      <c r="E37" s="1">
        <v>45312</v>
      </c>
      <c r="F37" s="1">
        <v>45312</v>
      </c>
      <c r="G37" t="s">
        <v>15</v>
      </c>
      <c r="H37" t="s">
        <v>16</v>
      </c>
      <c r="I37" t="s">
        <v>16</v>
      </c>
      <c r="J37" t="s">
        <v>17</v>
      </c>
      <c r="K37">
        <v>2</v>
      </c>
    </row>
    <row r="38" spans="1:11" x14ac:dyDescent="0.25">
      <c r="A38" t="s">
        <v>65</v>
      </c>
      <c r="B38" t="s">
        <v>29</v>
      </c>
      <c r="C38" t="s">
        <v>30</v>
      </c>
      <c r="D38" t="s">
        <v>25</v>
      </c>
      <c r="E38" s="1">
        <v>45312</v>
      </c>
      <c r="F38" s="1">
        <v>45316</v>
      </c>
      <c r="G38" t="s">
        <v>31</v>
      </c>
      <c r="H38" t="s">
        <v>16</v>
      </c>
      <c r="I38" t="s">
        <v>16</v>
      </c>
      <c r="J38" t="s">
        <v>17</v>
      </c>
      <c r="K38">
        <v>3</v>
      </c>
    </row>
    <row r="39" spans="1:11" x14ac:dyDescent="0.25">
      <c r="A39" t="s">
        <v>66</v>
      </c>
      <c r="B39" t="s">
        <v>23</v>
      </c>
      <c r="C39" t="s">
        <v>24</v>
      </c>
      <c r="D39" t="s">
        <v>14</v>
      </c>
      <c r="E39" s="1">
        <v>45313</v>
      </c>
      <c r="F39" s="1">
        <v>45313</v>
      </c>
      <c r="G39" t="s">
        <v>15</v>
      </c>
      <c r="H39" t="s">
        <v>16</v>
      </c>
      <c r="I39" t="s">
        <v>16</v>
      </c>
      <c r="J39" t="s">
        <v>17</v>
      </c>
      <c r="K39">
        <v>2</v>
      </c>
    </row>
    <row r="40" spans="1:11" x14ac:dyDescent="0.25">
      <c r="A40" t="s">
        <v>67</v>
      </c>
      <c r="B40" t="s">
        <v>19</v>
      </c>
      <c r="C40" t="s">
        <v>20</v>
      </c>
      <c r="D40" t="s">
        <v>21</v>
      </c>
      <c r="E40" s="1">
        <v>45313</v>
      </c>
      <c r="F40" s="1">
        <v>45317</v>
      </c>
      <c r="G40" t="s">
        <v>15</v>
      </c>
      <c r="H40" t="s">
        <v>16</v>
      </c>
      <c r="I40" t="s">
        <v>16</v>
      </c>
      <c r="J40" t="s">
        <v>17</v>
      </c>
      <c r="K40">
        <v>4</v>
      </c>
    </row>
    <row r="41" spans="1:11" x14ac:dyDescent="0.25">
      <c r="A41" t="s">
        <v>68</v>
      </c>
      <c r="B41" t="s">
        <v>12</v>
      </c>
      <c r="C41" t="s">
        <v>13</v>
      </c>
      <c r="D41" t="s">
        <v>25</v>
      </c>
      <c r="E41" s="1">
        <v>45314</v>
      </c>
      <c r="F41" s="1">
        <v>45318</v>
      </c>
      <c r="G41" t="s">
        <v>15</v>
      </c>
      <c r="H41" t="s">
        <v>26</v>
      </c>
      <c r="I41" t="s">
        <v>16</v>
      </c>
      <c r="J41" t="s">
        <v>17</v>
      </c>
      <c r="K41">
        <v>4</v>
      </c>
    </row>
    <row r="42" spans="1:11" x14ac:dyDescent="0.25">
      <c r="A42" t="s">
        <v>74</v>
      </c>
      <c r="B42" t="s">
        <v>12</v>
      </c>
      <c r="C42" t="s">
        <v>13</v>
      </c>
      <c r="D42" t="s">
        <v>14</v>
      </c>
      <c r="E42" s="1">
        <v>45352</v>
      </c>
      <c r="F42" s="1">
        <v>45354</v>
      </c>
      <c r="G42" t="s">
        <v>15</v>
      </c>
      <c r="H42" t="s">
        <v>16</v>
      </c>
      <c r="I42" t="s">
        <v>16</v>
      </c>
      <c r="J42" t="s">
        <v>17</v>
      </c>
      <c r="K42">
        <v>3</v>
      </c>
    </row>
    <row r="43" spans="1:11" x14ac:dyDescent="0.25">
      <c r="A43" t="s">
        <v>75</v>
      </c>
      <c r="B43" t="s">
        <v>19</v>
      </c>
      <c r="C43" t="s">
        <v>20</v>
      </c>
      <c r="D43" t="s">
        <v>21</v>
      </c>
      <c r="E43" s="1">
        <v>45352</v>
      </c>
      <c r="F43" s="1">
        <v>45355</v>
      </c>
      <c r="G43" t="s">
        <v>15</v>
      </c>
      <c r="H43" t="s">
        <v>16</v>
      </c>
      <c r="I43" t="s">
        <v>26</v>
      </c>
      <c r="J43" t="s">
        <v>32</v>
      </c>
      <c r="K43">
        <v>4</v>
      </c>
    </row>
    <row r="44" spans="1:11" x14ac:dyDescent="0.25">
      <c r="A44" t="s">
        <v>76</v>
      </c>
      <c r="B44" t="s">
        <v>23</v>
      </c>
      <c r="C44" t="s">
        <v>24</v>
      </c>
      <c r="D44" t="s">
        <v>25</v>
      </c>
      <c r="E44" s="1">
        <v>45353</v>
      </c>
      <c r="F44" s="1">
        <v>45356</v>
      </c>
      <c r="G44" t="s">
        <v>15</v>
      </c>
      <c r="H44" t="s">
        <v>26</v>
      </c>
      <c r="I44" t="s">
        <v>16</v>
      </c>
      <c r="J44" t="s">
        <v>17</v>
      </c>
      <c r="K44">
        <v>4</v>
      </c>
    </row>
    <row r="45" spans="1:11" x14ac:dyDescent="0.25">
      <c r="A45" t="s">
        <v>77</v>
      </c>
      <c r="B45" t="s">
        <v>29</v>
      </c>
      <c r="C45" t="s">
        <v>30</v>
      </c>
      <c r="D45" t="s">
        <v>14</v>
      </c>
      <c r="E45" s="1">
        <v>45353</v>
      </c>
      <c r="F45" s="1">
        <v>45353</v>
      </c>
      <c r="G45" t="s">
        <v>15</v>
      </c>
      <c r="H45" t="s">
        <v>16</v>
      </c>
      <c r="I45" t="s">
        <v>16</v>
      </c>
      <c r="J45" t="s">
        <v>17</v>
      </c>
      <c r="K45">
        <v>2</v>
      </c>
    </row>
    <row r="46" spans="1:11" x14ac:dyDescent="0.25">
      <c r="A46" t="s">
        <v>78</v>
      </c>
      <c r="B46" t="s">
        <v>69</v>
      </c>
      <c r="C46" t="s">
        <v>13</v>
      </c>
      <c r="D46" t="s">
        <v>25</v>
      </c>
      <c r="E46" s="1">
        <v>45354</v>
      </c>
      <c r="F46" s="1">
        <v>45358</v>
      </c>
      <c r="G46" t="s">
        <v>31</v>
      </c>
      <c r="H46" t="s">
        <v>26</v>
      </c>
      <c r="I46" t="s">
        <v>16</v>
      </c>
      <c r="J46" t="s">
        <v>38</v>
      </c>
      <c r="K46">
        <v>5</v>
      </c>
    </row>
    <row r="47" spans="1:11" x14ac:dyDescent="0.25">
      <c r="A47" t="s">
        <v>79</v>
      </c>
      <c r="B47" t="s">
        <v>70</v>
      </c>
      <c r="C47" t="s">
        <v>20</v>
      </c>
      <c r="D47" t="s">
        <v>14</v>
      </c>
      <c r="E47" s="1">
        <v>45354</v>
      </c>
      <c r="F47" s="1">
        <v>45355</v>
      </c>
      <c r="G47" t="s">
        <v>15</v>
      </c>
      <c r="H47" t="s">
        <v>16</v>
      </c>
      <c r="I47" t="s">
        <v>16</v>
      </c>
      <c r="J47" t="s">
        <v>17</v>
      </c>
      <c r="K47">
        <v>2</v>
      </c>
    </row>
    <row r="48" spans="1:11" x14ac:dyDescent="0.25">
      <c r="A48" t="s">
        <v>80</v>
      </c>
      <c r="B48" t="s">
        <v>71</v>
      </c>
      <c r="C48" t="s">
        <v>24</v>
      </c>
      <c r="D48" t="s">
        <v>21</v>
      </c>
      <c r="E48" s="1">
        <v>45355</v>
      </c>
      <c r="F48" s="1">
        <v>45359</v>
      </c>
      <c r="G48" t="s">
        <v>15</v>
      </c>
      <c r="H48" t="s">
        <v>16</v>
      </c>
      <c r="I48" t="s">
        <v>16</v>
      </c>
      <c r="J48" t="s">
        <v>17</v>
      </c>
      <c r="K48">
        <v>3</v>
      </c>
    </row>
    <row r="49" spans="1:11" x14ac:dyDescent="0.25">
      <c r="A49" t="s">
        <v>81</v>
      </c>
      <c r="B49" t="s">
        <v>12</v>
      </c>
      <c r="C49" t="s">
        <v>30</v>
      </c>
      <c r="D49" t="s">
        <v>14</v>
      </c>
      <c r="E49" s="1">
        <v>45355</v>
      </c>
      <c r="F49" s="1">
        <v>45357</v>
      </c>
      <c r="G49" t="s">
        <v>15</v>
      </c>
      <c r="H49" t="s">
        <v>16</v>
      </c>
      <c r="I49" t="s">
        <v>26</v>
      </c>
      <c r="J49" t="s">
        <v>32</v>
      </c>
      <c r="K49">
        <v>4</v>
      </c>
    </row>
    <row r="50" spans="1:11" x14ac:dyDescent="0.25">
      <c r="A50" t="s">
        <v>82</v>
      </c>
      <c r="B50" t="s">
        <v>72</v>
      </c>
      <c r="C50" t="s">
        <v>13</v>
      </c>
      <c r="D50" t="s">
        <v>25</v>
      </c>
      <c r="E50" s="1">
        <v>45356</v>
      </c>
      <c r="F50" s="1">
        <v>45360</v>
      </c>
      <c r="G50" t="s">
        <v>15</v>
      </c>
      <c r="H50" t="s">
        <v>26</v>
      </c>
      <c r="I50" t="s">
        <v>16</v>
      </c>
      <c r="J50" t="s">
        <v>17</v>
      </c>
      <c r="K50">
        <v>4</v>
      </c>
    </row>
    <row r="51" spans="1:11" x14ac:dyDescent="0.25">
      <c r="A51" t="s">
        <v>83</v>
      </c>
      <c r="B51" t="s">
        <v>19</v>
      </c>
      <c r="C51" t="s">
        <v>20</v>
      </c>
      <c r="D51" t="s">
        <v>21</v>
      </c>
      <c r="E51" s="1">
        <v>45356</v>
      </c>
      <c r="F51" s="1">
        <v>45358</v>
      </c>
      <c r="G51" t="s">
        <v>15</v>
      </c>
      <c r="H51" t="s">
        <v>16</v>
      </c>
      <c r="I51" t="s">
        <v>16</v>
      </c>
      <c r="J51" t="s">
        <v>17</v>
      </c>
      <c r="K51">
        <v>3</v>
      </c>
    </row>
    <row r="52" spans="1:11" x14ac:dyDescent="0.25">
      <c r="A52" t="s">
        <v>84</v>
      </c>
      <c r="B52" t="s">
        <v>23</v>
      </c>
      <c r="C52" t="s">
        <v>24</v>
      </c>
      <c r="D52" t="s">
        <v>14</v>
      </c>
      <c r="E52" s="1">
        <v>45357</v>
      </c>
      <c r="F52" s="1">
        <v>45357</v>
      </c>
      <c r="G52" t="s">
        <v>15</v>
      </c>
      <c r="H52" t="s">
        <v>16</v>
      </c>
      <c r="I52" t="s">
        <v>16</v>
      </c>
      <c r="J52" t="s">
        <v>17</v>
      </c>
      <c r="K52">
        <v>2</v>
      </c>
    </row>
    <row r="53" spans="1:11" x14ac:dyDescent="0.25">
      <c r="A53" t="s">
        <v>85</v>
      </c>
      <c r="B53" t="s">
        <v>73</v>
      </c>
      <c r="C53" t="s">
        <v>30</v>
      </c>
      <c r="D53" t="s">
        <v>25</v>
      </c>
      <c r="E53" s="1">
        <v>45357</v>
      </c>
      <c r="F53" s="1">
        <v>45361</v>
      </c>
      <c r="G53" t="s">
        <v>31</v>
      </c>
      <c r="H53" t="s">
        <v>26</v>
      </c>
      <c r="I53" t="s">
        <v>16</v>
      </c>
      <c r="J53" t="s">
        <v>38</v>
      </c>
      <c r="K53">
        <v>5</v>
      </c>
    </row>
    <row r="54" spans="1:11" x14ac:dyDescent="0.25">
      <c r="A54" t="s">
        <v>86</v>
      </c>
      <c r="B54" t="s">
        <v>69</v>
      </c>
      <c r="C54" t="s">
        <v>13</v>
      </c>
      <c r="D54" t="s">
        <v>21</v>
      </c>
      <c r="E54" s="1">
        <v>45358</v>
      </c>
      <c r="F54" s="1">
        <v>45362</v>
      </c>
      <c r="G54" t="s">
        <v>15</v>
      </c>
      <c r="H54" t="s">
        <v>16</v>
      </c>
      <c r="I54" t="s">
        <v>26</v>
      </c>
      <c r="J54" t="s">
        <v>32</v>
      </c>
      <c r="K54">
        <v>4</v>
      </c>
    </row>
    <row r="55" spans="1:11" x14ac:dyDescent="0.25">
      <c r="A55" t="s">
        <v>87</v>
      </c>
      <c r="B55" t="s">
        <v>29</v>
      </c>
      <c r="C55" t="s">
        <v>20</v>
      </c>
      <c r="D55" t="s">
        <v>14</v>
      </c>
      <c r="E55" s="1">
        <v>45358</v>
      </c>
      <c r="F55" s="1">
        <v>45358</v>
      </c>
      <c r="G55" t="s">
        <v>15</v>
      </c>
      <c r="H55" t="s">
        <v>16</v>
      </c>
      <c r="I55" t="s">
        <v>16</v>
      </c>
      <c r="J55" t="s">
        <v>17</v>
      </c>
      <c r="K55">
        <v>2</v>
      </c>
    </row>
    <row r="56" spans="1:11" x14ac:dyDescent="0.25">
      <c r="A56" t="s">
        <v>88</v>
      </c>
      <c r="B56" t="s">
        <v>71</v>
      </c>
      <c r="C56" t="s">
        <v>24</v>
      </c>
      <c r="D56" t="s">
        <v>25</v>
      </c>
      <c r="E56" s="1">
        <v>45359</v>
      </c>
      <c r="F56" s="1">
        <v>45363</v>
      </c>
      <c r="G56" t="s">
        <v>15</v>
      </c>
      <c r="H56" t="s">
        <v>26</v>
      </c>
      <c r="I56" t="s">
        <v>16</v>
      </c>
      <c r="J56" t="s">
        <v>17</v>
      </c>
      <c r="K56">
        <v>4</v>
      </c>
    </row>
    <row r="57" spans="1:11" x14ac:dyDescent="0.25">
      <c r="A57" t="s">
        <v>89</v>
      </c>
      <c r="B57" t="s">
        <v>12</v>
      </c>
      <c r="C57" t="s">
        <v>30</v>
      </c>
      <c r="D57" t="s">
        <v>21</v>
      </c>
      <c r="E57" s="1">
        <v>45359</v>
      </c>
      <c r="F57" s="1">
        <v>45361</v>
      </c>
      <c r="G57" t="s">
        <v>15</v>
      </c>
      <c r="H57" t="s">
        <v>16</v>
      </c>
      <c r="I57" t="s">
        <v>16</v>
      </c>
      <c r="J57" t="s">
        <v>17</v>
      </c>
      <c r="K57">
        <v>3</v>
      </c>
    </row>
    <row r="58" spans="1:11" x14ac:dyDescent="0.25">
      <c r="A58" t="s">
        <v>90</v>
      </c>
      <c r="B58" t="s">
        <v>70</v>
      </c>
      <c r="C58" t="s">
        <v>13</v>
      </c>
      <c r="D58" t="s">
        <v>14</v>
      </c>
      <c r="E58" s="1">
        <v>45360</v>
      </c>
      <c r="F58" s="1">
        <v>45360</v>
      </c>
      <c r="G58" t="s">
        <v>15</v>
      </c>
      <c r="H58" t="s">
        <v>16</v>
      </c>
      <c r="I58" t="s">
        <v>16</v>
      </c>
      <c r="J58" t="s">
        <v>17</v>
      </c>
      <c r="K58">
        <v>2</v>
      </c>
    </row>
    <row r="59" spans="1:11" x14ac:dyDescent="0.25">
      <c r="A59" t="s">
        <v>91</v>
      </c>
      <c r="B59" t="s">
        <v>72</v>
      </c>
      <c r="C59" t="s">
        <v>20</v>
      </c>
      <c r="D59" t="s">
        <v>25</v>
      </c>
      <c r="E59" s="1">
        <v>45360</v>
      </c>
      <c r="F59" s="1">
        <v>45364</v>
      </c>
      <c r="G59" t="s">
        <v>15</v>
      </c>
      <c r="H59" t="s">
        <v>26</v>
      </c>
      <c r="I59" t="s">
        <v>16</v>
      </c>
      <c r="J59" t="s">
        <v>17</v>
      </c>
      <c r="K59">
        <v>4</v>
      </c>
    </row>
    <row r="60" spans="1:11" x14ac:dyDescent="0.25">
      <c r="A60" t="s">
        <v>92</v>
      </c>
      <c r="B60" t="s">
        <v>19</v>
      </c>
      <c r="C60" t="s">
        <v>24</v>
      </c>
      <c r="D60" t="s">
        <v>21</v>
      </c>
      <c r="E60" s="1">
        <v>45361</v>
      </c>
      <c r="F60" s="1">
        <v>45365</v>
      </c>
      <c r="G60" t="s">
        <v>15</v>
      </c>
      <c r="H60" t="s">
        <v>16</v>
      </c>
      <c r="I60" t="s">
        <v>26</v>
      </c>
      <c r="J60" t="s">
        <v>32</v>
      </c>
      <c r="K60">
        <v>4</v>
      </c>
    </row>
    <row r="61" spans="1:11" x14ac:dyDescent="0.25">
      <c r="A61" t="s">
        <v>93</v>
      </c>
      <c r="B61" t="s">
        <v>23</v>
      </c>
      <c r="C61" t="s">
        <v>30</v>
      </c>
      <c r="D61" t="s">
        <v>14</v>
      </c>
      <c r="E61" s="1">
        <v>45361</v>
      </c>
      <c r="F61" s="1">
        <v>45361</v>
      </c>
      <c r="G61" t="s">
        <v>15</v>
      </c>
      <c r="H61" t="s">
        <v>26</v>
      </c>
      <c r="I61" t="s">
        <v>16</v>
      </c>
      <c r="J61" t="s">
        <v>17</v>
      </c>
      <c r="K61">
        <v>3</v>
      </c>
    </row>
    <row r="62" spans="1:11" x14ac:dyDescent="0.25">
      <c r="A62" t="s">
        <v>94</v>
      </c>
      <c r="B62" t="s">
        <v>12</v>
      </c>
      <c r="C62" t="s">
        <v>13</v>
      </c>
      <c r="D62" t="s">
        <v>14</v>
      </c>
      <c r="E62" s="1">
        <v>45323</v>
      </c>
      <c r="F62" s="1">
        <v>45325</v>
      </c>
      <c r="G62" t="s">
        <v>15</v>
      </c>
      <c r="H62" t="s">
        <v>16</v>
      </c>
      <c r="I62" t="s">
        <v>16</v>
      </c>
      <c r="J62" t="s">
        <v>17</v>
      </c>
      <c r="K62">
        <v>3</v>
      </c>
    </row>
    <row r="63" spans="1:11" x14ac:dyDescent="0.25">
      <c r="A63" t="s">
        <v>95</v>
      </c>
      <c r="B63" t="s">
        <v>19</v>
      </c>
      <c r="C63" t="s">
        <v>20</v>
      </c>
      <c r="D63" t="s">
        <v>21</v>
      </c>
      <c r="E63" s="1">
        <v>45323</v>
      </c>
      <c r="F63" s="1">
        <v>45326</v>
      </c>
      <c r="G63" t="s">
        <v>15</v>
      </c>
      <c r="H63" t="s">
        <v>16</v>
      </c>
      <c r="I63" t="s">
        <v>26</v>
      </c>
      <c r="J63" t="s">
        <v>32</v>
      </c>
      <c r="K63">
        <v>4</v>
      </c>
    </row>
    <row r="64" spans="1:11" x14ac:dyDescent="0.25">
      <c r="A64" t="s">
        <v>96</v>
      </c>
      <c r="B64" t="s">
        <v>23</v>
      </c>
      <c r="C64" t="s">
        <v>24</v>
      </c>
      <c r="D64" t="s">
        <v>25</v>
      </c>
      <c r="E64" s="1">
        <v>45324</v>
      </c>
      <c r="F64" s="1">
        <v>45327</v>
      </c>
      <c r="G64" t="s">
        <v>15</v>
      </c>
      <c r="H64" t="s">
        <v>26</v>
      </c>
      <c r="I64" t="s">
        <v>16</v>
      </c>
      <c r="J64" t="s">
        <v>17</v>
      </c>
      <c r="K64">
        <v>4</v>
      </c>
    </row>
    <row r="65" spans="1:11" x14ac:dyDescent="0.25">
      <c r="A65" t="s">
        <v>97</v>
      </c>
      <c r="B65" t="s">
        <v>29</v>
      </c>
      <c r="C65" t="s">
        <v>30</v>
      </c>
      <c r="D65" t="s">
        <v>14</v>
      </c>
      <c r="E65" s="1">
        <v>45324</v>
      </c>
      <c r="F65" s="1">
        <v>45324</v>
      </c>
      <c r="G65" t="s">
        <v>15</v>
      </c>
      <c r="H65" t="s">
        <v>16</v>
      </c>
      <c r="I65" t="s">
        <v>16</v>
      </c>
      <c r="J65" t="s">
        <v>17</v>
      </c>
      <c r="K65">
        <v>2</v>
      </c>
    </row>
    <row r="66" spans="1:11" x14ac:dyDescent="0.25">
      <c r="A66" t="s">
        <v>98</v>
      </c>
      <c r="B66" t="s">
        <v>69</v>
      </c>
      <c r="C66" t="s">
        <v>13</v>
      </c>
      <c r="D66" t="s">
        <v>25</v>
      </c>
      <c r="E66" s="1">
        <v>45325</v>
      </c>
      <c r="F66" s="1">
        <v>45329</v>
      </c>
      <c r="G66" t="s">
        <v>31</v>
      </c>
      <c r="H66" t="s">
        <v>26</v>
      </c>
      <c r="I66" t="s">
        <v>16</v>
      </c>
      <c r="J66" t="s">
        <v>38</v>
      </c>
      <c r="K66">
        <v>5</v>
      </c>
    </row>
    <row r="67" spans="1:11" x14ac:dyDescent="0.25">
      <c r="A67" t="s">
        <v>99</v>
      </c>
      <c r="B67" t="s">
        <v>70</v>
      </c>
      <c r="C67" t="s">
        <v>20</v>
      </c>
      <c r="D67" t="s">
        <v>14</v>
      </c>
      <c r="E67" s="1">
        <v>45325</v>
      </c>
      <c r="F67" s="1">
        <v>45326</v>
      </c>
      <c r="G67" t="s">
        <v>15</v>
      </c>
      <c r="H67" t="s">
        <v>16</v>
      </c>
      <c r="I67" t="s">
        <v>16</v>
      </c>
      <c r="J67" t="s">
        <v>17</v>
      </c>
      <c r="K67">
        <v>2</v>
      </c>
    </row>
    <row r="68" spans="1:11" x14ac:dyDescent="0.25">
      <c r="A68" t="s">
        <v>100</v>
      </c>
      <c r="B68" t="s">
        <v>71</v>
      </c>
      <c r="C68" t="s">
        <v>24</v>
      </c>
      <c r="D68" t="s">
        <v>21</v>
      </c>
      <c r="E68" s="1">
        <v>45326</v>
      </c>
      <c r="F68" s="1">
        <v>45330</v>
      </c>
      <c r="G68" t="s">
        <v>15</v>
      </c>
      <c r="H68" t="s">
        <v>16</v>
      </c>
      <c r="I68" t="s">
        <v>26</v>
      </c>
      <c r="J68" t="s">
        <v>32</v>
      </c>
      <c r="K68">
        <v>4</v>
      </c>
    </row>
    <row r="69" spans="1:11" x14ac:dyDescent="0.25">
      <c r="A69" t="s">
        <v>101</v>
      </c>
      <c r="B69" t="s">
        <v>12</v>
      </c>
      <c r="C69" t="s">
        <v>30</v>
      </c>
      <c r="D69" t="s">
        <v>14</v>
      </c>
      <c r="E69" s="1">
        <v>45326</v>
      </c>
      <c r="F69" s="1">
        <v>45328</v>
      </c>
      <c r="G69" t="s">
        <v>15</v>
      </c>
      <c r="H69" t="s">
        <v>16</v>
      </c>
      <c r="I69" t="s">
        <v>16</v>
      </c>
      <c r="J69" t="s">
        <v>17</v>
      </c>
      <c r="K69">
        <v>3</v>
      </c>
    </row>
    <row r="70" spans="1:11" x14ac:dyDescent="0.25">
      <c r="A70" t="s">
        <v>102</v>
      </c>
      <c r="B70" t="s">
        <v>72</v>
      </c>
      <c r="C70" t="s">
        <v>13</v>
      </c>
      <c r="D70" t="s">
        <v>25</v>
      </c>
      <c r="E70" s="1">
        <v>45327</v>
      </c>
      <c r="F70" s="1">
        <v>45331</v>
      </c>
      <c r="G70" t="s">
        <v>15</v>
      </c>
      <c r="H70" t="s">
        <v>26</v>
      </c>
      <c r="I70" t="s">
        <v>16</v>
      </c>
      <c r="J70" t="s">
        <v>17</v>
      </c>
      <c r="K70">
        <v>4</v>
      </c>
    </row>
    <row r="71" spans="1:11" x14ac:dyDescent="0.25">
      <c r="A71" t="s">
        <v>103</v>
      </c>
      <c r="B71" t="s">
        <v>19</v>
      </c>
      <c r="C71" t="s">
        <v>20</v>
      </c>
      <c r="D71" t="s">
        <v>21</v>
      </c>
      <c r="E71" s="1">
        <v>45327</v>
      </c>
      <c r="F71" s="1">
        <v>45329</v>
      </c>
      <c r="G71" t="s">
        <v>15</v>
      </c>
      <c r="H71" t="s">
        <v>16</v>
      </c>
      <c r="I71" t="s">
        <v>16</v>
      </c>
      <c r="J71" t="s">
        <v>17</v>
      </c>
      <c r="K71">
        <v>3</v>
      </c>
    </row>
    <row r="72" spans="1:11" x14ac:dyDescent="0.25">
      <c r="A72" t="s">
        <v>104</v>
      </c>
      <c r="B72" t="s">
        <v>23</v>
      </c>
      <c r="C72" t="s">
        <v>24</v>
      </c>
      <c r="D72" t="s">
        <v>14</v>
      </c>
      <c r="E72" s="1">
        <v>45328</v>
      </c>
      <c r="F72" s="1">
        <v>45328</v>
      </c>
      <c r="G72" t="s">
        <v>15</v>
      </c>
      <c r="H72" t="s">
        <v>16</v>
      </c>
      <c r="I72" t="s">
        <v>16</v>
      </c>
      <c r="J72" t="s">
        <v>17</v>
      </c>
      <c r="K72">
        <v>2</v>
      </c>
    </row>
    <row r="73" spans="1:11" x14ac:dyDescent="0.25">
      <c r="A73" t="s">
        <v>105</v>
      </c>
      <c r="B73" t="s">
        <v>73</v>
      </c>
      <c r="C73" t="s">
        <v>30</v>
      </c>
      <c r="D73" t="s">
        <v>25</v>
      </c>
      <c r="E73" s="1">
        <v>45328</v>
      </c>
      <c r="F73" s="1">
        <v>45332</v>
      </c>
      <c r="G73" t="s">
        <v>31</v>
      </c>
      <c r="H73" t="s">
        <v>26</v>
      </c>
      <c r="I73" t="s">
        <v>16</v>
      </c>
      <c r="J73" t="s">
        <v>38</v>
      </c>
      <c r="K73">
        <v>5</v>
      </c>
    </row>
    <row r="74" spans="1:11" x14ac:dyDescent="0.25">
      <c r="A74" t="s">
        <v>106</v>
      </c>
      <c r="B74" t="s">
        <v>69</v>
      </c>
      <c r="C74" t="s">
        <v>13</v>
      </c>
      <c r="D74" t="s">
        <v>21</v>
      </c>
      <c r="E74" s="1">
        <v>45329</v>
      </c>
      <c r="F74" s="1">
        <v>45333</v>
      </c>
      <c r="G74" t="s">
        <v>15</v>
      </c>
      <c r="H74" t="s">
        <v>16</v>
      </c>
      <c r="I74" t="s">
        <v>26</v>
      </c>
      <c r="J74" t="s">
        <v>32</v>
      </c>
      <c r="K74">
        <v>4</v>
      </c>
    </row>
    <row r="75" spans="1:11" x14ac:dyDescent="0.25">
      <c r="A75" t="s">
        <v>107</v>
      </c>
      <c r="B75" t="s">
        <v>29</v>
      </c>
      <c r="C75" t="s">
        <v>20</v>
      </c>
      <c r="D75" t="s">
        <v>14</v>
      </c>
      <c r="E75" s="1">
        <v>45329</v>
      </c>
      <c r="F75" s="1">
        <v>45329</v>
      </c>
      <c r="G75" t="s">
        <v>15</v>
      </c>
      <c r="H75" t="s">
        <v>16</v>
      </c>
      <c r="I75" t="s">
        <v>16</v>
      </c>
      <c r="J75" t="s">
        <v>17</v>
      </c>
      <c r="K75">
        <v>2</v>
      </c>
    </row>
    <row r="76" spans="1:11" x14ac:dyDescent="0.25">
      <c r="A76" t="s">
        <v>108</v>
      </c>
      <c r="B76" t="s">
        <v>71</v>
      </c>
      <c r="C76" t="s">
        <v>24</v>
      </c>
      <c r="D76" t="s">
        <v>25</v>
      </c>
      <c r="E76" s="1">
        <v>45330</v>
      </c>
      <c r="F76" s="1">
        <v>45334</v>
      </c>
      <c r="G76" t="s">
        <v>15</v>
      </c>
      <c r="H76" t="s">
        <v>26</v>
      </c>
      <c r="I76" t="s">
        <v>16</v>
      </c>
      <c r="J76" t="s">
        <v>17</v>
      </c>
      <c r="K76">
        <v>4</v>
      </c>
    </row>
    <row r="77" spans="1:11" x14ac:dyDescent="0.25">
      <c r="A77" t="s">
        <v>109</v>
      </c>
      <c r="B77" t="s">
        <v>12</v>
      </c>
      <c r="C77" t="s">
        <v>30</v>
      </c>
      <c r="D77" t="s">
        <v>21</v>
      </c>
      <c r="E77" s="1">
        <v>45330</v>
      </c>
      <c r="F77" s="1">
        <v>45332</v>
      </c>
      <c r="G77" t="s">
        <v>15</v>
      </c>
      <c r="H77" t="s">
        <v>16</v>
      </c>
      <c r="I77" t="s">
        <v>16</v>
      </c>
      <c r="J77" t="s">
        <v>17</v>
      </c>
      <c r="K77">
        <v>3</v>
      </c>
    </row>
    <row r="78" spans="1:11" x14ac:dyDescent="0.25">
      <c r="A78" t="s">
        <v>110</v>
      </c>
      <c r="B78" t="s">
        <v>70</v>
      </c>
      <c r="C78" t="s">
        <v>13</v>
      </c>
      <c r="D78" t="s">
        <v>14</v>
      </c>
      <c r="E78" s="1">
        <v>45331</v>
      </c>
      <c r="F78" s="1">
        <v>45331</v>
      </c>
      <c r="G78" t="s">
        <v>15</v>
      </c>
      <c r="H78" t="s">
        <v>16</v>
      </c>
      <c r="I78" t="s">
        <v>16</v>
      </c>
      <c r="J78" t="s">
        <v>17</v>
      </c>
      <c r="K78">
        <v>2</v>
      </c>
    </row>
    <row r="79" spans="1:11" x14ac:dyDescent="0.25">
      <c r="A79" t="s">
        <v>111</v>
      </c>
      <c r="B79" t="s">
        <v>72</v>
      </c>
      <c r="C79" t="s">
        <v>20</v>
      </c>
      <c r="D79" t="s">
        <v>25</v>
      </c>
      <c r="E79" s="1">
        <v>45331</v>
      </c>
      <c r="F79" s="1">
        <v>45335</v>
      </c>
      <c r="G79" t="s">
        <v>15</v>
      </c>
      <c r="H79" t="s">
        <v>26</v>
      </c>
      <c r="I79" t="s">
        <v>16</v>
      </c>
      <c r="J79" t="s">
        <v>17</v>
      </c>
      <c r="K79">
        <v>4</v>
      </c>
    </row>
    <row r="80" spans="1:11" x14ac:dyDescent="0.25">
      <c r="A80" t="s">
        <v>112</v>
      </c>
      <c r="B80" t="s">
        <v>19</v>
      </c>
      <c r="C80" t="s">
        <v>24</v>
      </c>
      <c r="D80" t="s">
        <v>21</v>
      </c>
      <c r="E80" s="1">
        <v>45332</v>
      </c>
      <c r="F80" s="1">
        <v>45336</v>
      </c>
      <c r="G80" t="s">
        <v>15</v>
      </c>
      <c r="H80" t="s">
        <v>16</v>
      </c>
      <c r="I80" t="s">
        <v>26</v>
      </c>
      <c r="J80" t="s">
        <v>32</v>
      </c>
      <c r="K80">
        <v>4</v>
      </c>
    </row>
    <row r="81" spans="1:11" x14ac:dyDescent="0.25">
      <c r="A81" t="s">
        <v>113</v>
      </c>
      <c r="B81" t="s">
        <v>23</v>
      </c>
      <c r="C81" t="s">
        <v>30</v>
      </c>
      <c r="D81" t="s">
        <v>14</v>
      </c>
      <c r="E81" s="1">
        <v>45332</v>
      </c>
      <c r="F81" s="1">
        <v>45332</v>
      </c>
      <c r="G81" t="s">
        <v>15</v>
      </c>
      <c r="H81" t="s">
        <v>16</v>
      </c>
      <c r="I81" t="s">
        <v>16</v>
      </c>
      <c r="J81" t="s">
        <v>17</v>
      </c>
      <c r="K81">
        <v>2</v>
      </c>
    </row>
    <row r="82" spans="1:11" x14ac:dyDescent="0.25">
      <c r="A82" t="s">
        <v>114</v>
      </c>
      <c r="B82" t="s">
        <v>69</v>
      </c>
      <c r="C82" t="s">
        <v>13</v>
      </c>
      <c r="D82" t="s">
        <v>25</v>
      </c>
      <c r="E82" s="1">
        <v>45333</v>
      </c>
      <c r="F82" s="1">
        <v>45337</v>
      </c>
      <c r="G82" t="s">
        <v>31</v>
      </c>
      <c r="H82" t="s">
        <v>26</v>
      </c>
      <c r="I82" t="s">
        <v>16</v>
      </c>
      <c r="J82" t="s">
        <v>38</v>
      </c>
      <c r="K82">
        <v>5</v>
      </c>
    </row>
    <row r="83" spans="1:11" x14ac:dyDescent="0.25">
      <c r="A83" t="s">
        <v>115</v>
      </c>
      <c r="B83" t="s">
        <v>73</v>
      </c>
      <c r="C83" t="s">
        <v>20</v>
      </c>
      <c r="D83" t="s">
        <v>14</v>
      </c>
      <c r="E83" s="1">
        <v>45333</v>
      </c>
      <c r="F83" s="1">
        <v>45334</v>
      </c>
      <c r="G83" t="s">
        <v>15</v>
      </c>
      <c r="H83" t="s">
        <v>16</v>
      </c>
      <c r="I83" t="s">
        <v>16</v>
      </c>
      <c r="J83" t="s">
        <v>17</v>
      </c>
      <c r="K83">
        <v>2</v>
      </c>
    </row>
    <row r="84" spans="1:11" x14ac:dyDescent="0.25">
      <c r="A84" t="s">
        <v>116</v>
      </c>
      <c r="B84" t="s">
        <v>29</v>
      </c>
      <c r="C84" t="s">
        <v>24</v>
      </c>
      <c r="D84" t="s">
        <v>21</v>
      </c>
      <c r="E84" s="1">
        <v>45334</v>
      </c>
      <c r="F84" s="1">
        <v>45338</v>
      </c>
      <c r="G84" t="s">
        <v>15</v>
      </c>
      <c r="H84" t="s">
        <v>16</v>
      </c>
      <c r="I84" t="s">
        <v>16</v>
      </c>
      <c r="J84" t="s">
        <v>17</v>
      </c>
      <c r="K84">
        <v>3</v>
      </c>
    </row>
    <row r="85" spans="1:11" x14ac:dyDescent="0.25">
      <c r="A85" t="s">
        <v>117</v>
      </c>
      <c r="B85" t="s">
        <v>12</v>
      </c>
      <c r="C85" t="s">
        <v>30</v>
      </c>
      <c r="D85" t="s">
        <v>25</v>
      </c>
      <c r="E85" s="1">
        <v>45334</v>
      </c>
      <c r="F85" s="1">
        <v>45339</v>
      </c>
      <c r="G85" t="s">
        <v>15</v>
      </c>
      <c r="H85" t="s">
        <v>26</v>
      </c>
      <c r="I85" t="s">
        <v>16</v>
      </c>
      <c r="J85" t="s">
        <v>17</v>
      </c>
      <c r="K85">
        <v>4</v>
      </c>
    </row>
    <row r="86" spans="1:11" x14ac:dyDescent="0.25">
      <c r="A86" t="s">
        <v>118</v>
      </c>
      <c r="B86" t="s">
        <v>71</v>
      </c>
      <c r="C86" t="s">
        <v>13</v>
      </c>
      <c r="D86" t="s">
        <v>14</v>
      </c>
      <c r="E86" s="1">
        <v>45335</v>
      </c>
      <c r="F86" s="1">
        <v>45335</v>
      </c>
      <c r="G86" t="s">
        <v>15</v>
      </c>
      <c r="H86" t="s">
        <v>16</v>
      </c>
      <c r="I86" t="s">
        <v>16</v>
      </c>
      <c r="J86" t="s">
        <v>17</v>
      </c>
      <c r="K86">
        <v>2</v>
      </c>
    </row>
    <row r="87" spans="1:11" x14ac:dyDescent="0.25">
      <c r="A87" t="s">
        <v>119</v>
      </c>
      <c r="B87" t="s">
        <v>19</v>
      </c>
      <c r="C87" t="s">
        <v>20</v>
      </c>
      <c r="D87" t="s">
        <v>21</v>
      </c>
      <c r="E87" s="1">
        <v>45335</v>
      </c>
      <c r="F87" s="1">
        <v>45337</v>
      </c>
      <c r="G87" t="s">
        <v>15</v>
      </c>
      <c r="H87" t="s">
        <v>16</v>
      </c>
      <c r="I87" t="s">
        <v>16</v>
      </c>
      <c r="J87" t="s">
        <v>17</v>
      </c>
      <c r="K87">
        <v>3</v>
      </c>
    </row>
    <row r="88" spans="1:11" x14ac:dyDescent="0.25">
      <c r="A88" t="s">
        <v>120</v>
      </c>
      <c r="B88" t="s">
        <v>72</v>
      </c>
      <c r="C88" t="s">
        <v>24</v>
      </c>
      <c r="D88" t="s">
        <v>25</v>
      </c>
      <c r="E88" s="1">
        <v>45336</v>
      </c>
      <c r="F88" s="1">
        <v>45340</v>
      </c>
      <c r="G88" t="s">
        <v>15</v>
      </c>
      <c r="H88" t="s">
        <v>26</v>
      </c>
      <c r="I88" t="s">
        <v>16</v>
      </c>
      <c r="J88" t="s">
        <v>17</v>
      </c>
      <c r="K88">
        <v>4</v>
      </c>
    </row>
    <row r="89" spans="1:11" x14ac:dyDescent="0.25">
      <c r="A89" t="s">
        <v>121</v>
      </c>
      <c r="B89" t="s">
        <v>70</v>
      </c>
      <c r="C89" t="s">
        <v>30</v>
      </c>
      <c r="D89" t="s">
        <v>14</v>
      </c>
      <c r="E89" s="1">
        <v>45336</v>
      </c>
      <c r="F89" s="1">
        <v>45336</v>
      </c>
      <c r="G89" t="s">
        <v>15</v>
      </c>
      <c r="H89" t="s">
        <v>16</v>
      </c>
      <c r="I89" t="s">
        <v>16</v>
      </c>
      <c r="J89" t="s">
        <v>17</v>
      </c>
      <c r="K89">
        <v>2</v>
      </c>
    </row>
    <row r="90" spans="1:11" x14ac:dyDescent="0.25">
      <c r="A90" t="s">
        <v>122</v>
      </c>
      <c r="B90" t="s">
        <v>69</v>
      </c>
      <c r="C90" t="s">
        <v>13</v>
      </c>
      <c r="D90" t="s">
        <v>21</v>
      </c>
      <c r="E90" s="1">
        <v>45337</v>
      </c>
      <c r="F90" s="1">
        <v>45341</v>
      </c>
      <c r="G90" t="s">
        <v>15</v>
      </c>
      <c r="H90" t="s">
        <v>16</v>
      </c>
      <c r="I90" t="s">
        <v>26</v>
      </c>
      <c r="J90" t="s">
        <v>32</v>
      </c>
      <c r="K90">
        <v>4</v>
      </c>
    </row>
    <row r="91" spans="1:11" x14ac:dyDescent="0.25">
      <c r="A91" t="s">
        <v>123</v>
      </c>
      <c r="B91" t="s">
        <v>23</v>
      </c>
      <c r="C91" t="s">
        <v>20</v>
      </c>
      <c r="D91" t="s">
        <v>25</v>
      </c>
      <c r="E91" s="1">
        <v>45337</v>
      </c>
      <c r="F91" s="1">
        <v>45342</v>
      </c>
      <c r="G91" t="s">
        <v>15</v>
      </c>
      <c r="H91" t="s">
        <v>26</v>
      </c>
      <c r="I91" t="s">
        <v>16</v>
      </c>
      <c r="J91" t="s">
        <v>17</v>
      </c>
      <c r="K91">
        <v>4</v>
      </c>
    </row>
    <row r="92" spans="1:11" x14ac:dyDescent="0.25">
      <c r="A92" t="s">
        <v>124</v>
      </c>
      <c r="B92" t="s">
        <v>12</v>
      </c>
      <c r="C92" t="s">
        <v>24</v>
      </c>
      <c r="D92" t="s">
        <v>14</v>
      </c>
      <c r="E92" s="1">
        <v>45338</v>
      </c>
      <c r="F92" s="1">
        <v>45338</v>
      </c>
      <c r="G92" t="s">
        <v>15</v>
      </c>
      <c r="H92" t="s">
        <v>16</v>
      </c>
      <c r="I92" t="s">
        <v>16</v>
      </c>
      <c r="J92" t="s">
        <v>17</v>
      </c>
      <c r="K92">
        <v>2</v>
      </c>
    </row>
    <row r="93" spans="1:11" x14ac:dyDescent="0.25">
      <c r="A93" t="s">
        <v>125</v>
      </c>
      <c r="B93" t="s">
        <v>29</v>
      </c>
      <c r="C93" t="s">
        <v>30</v>
      </c>
      <c r="D93" t="s">
        <v>21</v>
      </c>
      <c r="E93" s="1">
        <v>45338</v>
      </c>
      <c r="F93" s="1">
        <v>45340</v>
      </c>
      <c r="G93" t="s">
        <v>15</v>
      </c>
      <c r="H93" t="s">
        <v>16</v>
      </c>
      <c r="I93" t="s">
        <v>26</v>
      </c>
      <c r="J93" t="s">
        <v>32</v>
      </c>
      <c r="K93">
        <v>4</v>
      </c>
    </row>
    <row r="94" spans="1:11" x14ac:dyDescent="0.25">
      <c r="A94" t="s">
        <v>126</v>
      </c>
      <c r="B94" t="s">
        <v>71</v>
      </c>
      <c r="C94" t="s">
        <v>13</v>
      </c>
      <c r="D94" t="s">
        <v>25</v>
      </c>
      <c r="E94" s="1">
        <v>45339</v>
      </c>
      <c r="F94" s="1">
        <v>45343</v>
      </c>
      <c r="G94" t="s">
        <v>15</v>
      </c>
      <c r="H94" t="s">
        <v>26</v>
      </c>
      <c r="I94" t="s">
        <v>16</v>
      </c>
      <c r="J94" t="s">
        <v>17</v>
      </c>
      <c r="K94">
        <v>4</v>
      </c>
    </row>
    <row r="95" spans="1:11" x14ac:dyDescent="0.25">
      <c r="A95" t="s">
        <v>127</v>
      </c>
      <c r="B95" t="s">
        <v>73</v>
      </c>
      <c r="C95" t="s">
        <v>20</v>
      </c>
      <c r="D95" t="s">
        <v>14</v>
      </c>
      <c r="E95" s="1">
        <v>45339</v>
      </c>
      <c r="F95" s="1">
        <v>45339</v>
      </c>
      <c r="G95" t="s">
        <v>15</v>
      </c>
      <c r="H95" t="s">
        <v>16</v>
      </c>
      <c r="I95" t="s">
        <v>16</v>
      </c>
      <c r="J95" t="s">
        <v>17</v>
      </c>
      <c r="K95">
        <v>2</v>
      </c>
    </row>
    <row r="96" spans="1:11" x14ac:dyDescent="0.25">
      <c r="A96" t="s">
        <v>128</v>
      </c>
      <c r="B96" t="s">
        <v>19</v>
      </c>
      <c r="C96" t="s">
        <v>24</v>
      </c>
      <c r="D96" t="s">
        <v>21</v>
      </c>
      <c r="E96" s="1">
        <v>45340</v>
      </c>
      <c r="F96" s="1">
        <v>45344</v>
      </c>
      <c r="G96" t="s">
        <v>15</v>
      </c>
      <c r="H96" t="s">
        <v>16</v>
      </c>
      <c r="I96" t="s">
        <v>26</v>
      </c>
      <c r="J96" t="s">
        <v>32</v>
      </c>
      <c r="K96">
        <v>4</v>
      </c>
    </row>
    <row r="97" spans="1:11" x14ac:dyDescent="0.25">
      <c r="A97" t="s">
        <v>129</v>
      </c>
      <c r="B97" t="s">
        <v>72</v>
      </c>
      <c r="C97" t="s">
        <v>30</v>
      </c>
      <c r="D97" t="s">
        <v>25</v>
      </c>
      <c r="E97" s="1">
        <v>45340</v>
      </c>
      <c r="F97" s="1">
        <v>45345</v>
      </c>
      <c r="G97" t="s">
        <v>31</v>
      </c>
      <c r="H97" t="s">
        <v>26</v>
      </c>
      <c r="I97" t="s">
        <v>16</v>
      </c>
      <c r="J97" t="s">
        <v>38</v>
      </c>
      <c r="K97">
        <v>5</v>
      </c>
    </row>
    <row r="98" spans="1:11" x14ac:dyDescent="0.25">
      <c r="A98" t="s">
        <v>130</v>
      </c>
      <c r="B98" t="s">
        <v>12</v>
      </c>
      <c r="C98" t="s">
        <v>13</v>
      </c>
      <c r="D98" t="s">
        <v>14</v>
      </c>
      <c r="E98" s="1">
        <v>45341</v>
      </c>
      <c r="F98" s="1">
        <v>45341</v>
      </c>
      <c r="G98" t="s">
        <v>15</v>
      </c>
      <c r="H98" t="s">
        <v>16</v>
      </c>
      <c r="I98" t="s">
        <v>16</v>
      </c>
      <c r="J98" t="s">
        <v>17</v>
      </c>
      <c r="K98">
        <v>2</v>
      </c>
    </row>
    <row r="99" spans="1:11" x14ac:dyDescent="0.25">
      <c r="A99" t="s">
        <v>131</v>
      </c>
      <c r="B99" t="s">
        <v>23</v>
      </c>
      <c r="C99" t="s">
        <v>20</v>
      </c>
      <c r="D99" t="s">
        <v>21</v>
      </c>
      <c r="E99" s="1">
        <v>45341</v>
      </c>
      <c r="F99" s="1">
        <v>45343</v>
      </c>
      <c r="G99" t="s">
        <v>15</v>
      </c>
      <c r="H99" t="s">
        <v>16</v>
      </c>
      <c r="I99" t="s">
        <v>16</v>
      </c>
      <c r="J99" t="s">
        <v>17</v>
      </c>
      <c r="K99">
        <v>3</v>
      </c>
    </row>
    <row r="100" spans="1:11" x14ac:dyDescent="0.25">
      <c r="A100" t="s">
        <v>132</v>
      </c>
      <c r="B100" t="s">
        <v>70</v>
      </c>
      <c r="C100" t="s">
        <v>24</v>
      </c>
      <c r="D100" t="s">
        <v>25</v>
      </c>
      <c r="E100" s="1">
        <v>45342</v>
      </c>
      <c r="F100" s="1">
        <v>45346</v>
      </c>
      <c r="G100" t="s">
        <v>15</v>
      </c>
      <c r="H100" t="s">
        <v>26</v>
      </c>
      <c r="I100" t="s">
        <v>16</v>
      </c>
      <c r="J100" t="s">
        <v>17</v>
      </c>
      <c r="K100">
        <v>4</v>
      </c>
    </row>
    <row r="101" spans="1:11" x14ac:dyDescent="0.25">
      <c r="A101" t="s">
        <v>133</v>
      </c>
      <c r="B101" t="s">
        <v>69</v>
      </c>
      <c r="C101" t="s">
        <v>30</v>
      </c>
      <c r="D101" t="s">
        <v>14</v>
      </c>
      <c r="E101" s="1">
        <v>45342</v>
      </c>
      <c r="F101" s="1">
        <v>45342</v>
      </c>
      <c r="G101" t="s">
        <v>15</v>
      </c>
      <c r="H101" t="s">
        <v>16</v>
      </c>
      <c r="I101" t="s">
        <v>16</v>
      </c>
      <c r="J101" t="s">
        <v>17</v>
      </c>
      <c r="K101">
        <v>2</v>
      </c>
    </row>
    <row r="102" spans="1:11" x14ac:dyDescent="0.25">
      <c r="A102" t="s">
        <v>134</v>
      </c>
      <c r="B102" t="s">
        <v>12</v>
      </c>
      <c r="C102" t="s">
        <v>13</v>
      </c>
      <c r="D102" t="s">
        <v>14</v>
      </c>
      <c r="E102" s="1">
        <v>45343</v>
      </c>
      <c r="F102" s="1">
        <v>45345</v>
      </c>
      <c r="G102" t="s">
        <v>15</v>
      </c>
      <c r="H102" t="s">
        <v>16</v>
      </c>
      <c r="I102" t="s">
        <v>16</v>
      </c>
      <c r="J102" t="s">
        <v>17</v>
      </c>
      <c r="K102">
        <v>3</v>
      </c>
    </row>
    <row r="103" spans="1:11" x14ac:dyDescent="0.25">
      <c r="A103" t="s">
        <v>135</v>
      </c>
      <c r="B103" t="s">
        <v>19</v>
      </c>
      <c r="C103" t="s">
        <v>20</v>
      </c>
      <c r="D103" t="s">
        <v>21</v>
      </c>
      <c r="E103" s="1">
        <v>45343</v>
      </c>
      <c r="F103" s="1">
        <v>45346</v>
      </c>
      <c r="G103" t="s">
        <v>15</v>
      </c>
      <c r="H103" t="s">
        <v>16</v>
      </c>
      <c r="I103" t="s">
        <v>26</v>
      </c>
      <c r="J103" t="s">
        <v>32</v>
      </c>
      <c r="K103">
        <v>4</v>
      </c>
    </row>
    <row r="104" spans="1:11" x14ac:dyDescent="0.25">
      <c r="A104" t="s">
        <v>136</v>
      </c>
      <c r="B104" t="s">
        <v>23</v>
      </c>
      <c r="C104" t="s">
        <v>24</v>
      </c>
      <c r="D104" t="s">
        <v>25</v>
      </c>
      <c r="E104" s="1">
        <v>45344</v>
      </c>
      <c r="F104" s="1">
        <v>45348</v>
      </c>
      <c r="G104" t="s">
        <v>15</v>
      </c>
      <c r="H104" t="s">
        <v>26</v>
      </c>
      <c r="I104" t="s">
        <v>16</v>
      </c>
      <c r="J104" t="s">
        <v>17</v>
      </c>
      <c r="K104">
        <v>4</v>
      </c>
    </row>
    <row r="105" spans="1:11" x14ac:dyDescent="0.25">
      <c r="A105" t="s">
        <v>137</v>
      </c>
      <c r="B105" t="s">
        <v>29</v>
      </c>
      <c r="C105" t="s">
        <v>30</v>
      </c>
      <c r="D105" t="s">
        <v>14</v>
      </c>
      <c r="E105" s="1">
        <v>45344</v>
      </c>
      <c r="F105" s="1">
        <v>45344</v>
      </c>
      <c r="G105" t="s">
        <v>15</v>
      </c>
      <c r="H105" t="s">
        <v>16</v>
      </c>
      <c r="I105" t="s">
        <v>16</v>
      </c>
      <c r="J105" t="s">
        <v>17</v>
      </c>
      <c r="K105">
        <v>2</v>
      </c>
    </row>
    <row r="106" spans="1:11" x14ac:dyDescent="0.25">
      <c r="A106" t="s">
        <v>138</v>
      </c>
      <c r="B106" t="s">
        <v>69</v>
      </c>
      <c r="C106" t="s">
        <v>13</v>
      </c>
      <c r="D106" t="s">
        <v>25</v>
      </c>
      <c r="E106" s="1">
        <v>45345</v>
      </c>
      <c r="F106" s="1">
        <v>45349</v>
      </c>
      <c r="G106" t="s">
        <v>31</v>
      </c>
      <c r="H106" t="s">
        <v>26</v>
      </c>
      <c r="I106" t="s">
        <v>16</v>
      </c>
      <c r="J106" t="s">
        <v>38</v>
      </c>
      <c r="K106">
        <v>5</v>
      </c>
    </row>
    <row r="107" spans="1:11" x14ac:dyDescent="0.25">
      <c r="A107" t="s">
        <v>139</v>
      </c>
      <c r="B107" t="s">
        <v>70</v>
      </c>
      <c r="C107" t="s">
        <v>20</v>
      </c>
      <c r="D107" t="s">
        <v>14</v>
      </c>
      <c r="E107" s="1">
        <v>45345</v>
      </c>
      <c r="F107" s="1">
        <v>45346</v>
      </c>
      <c r="G107" t="s">
        <v>15</v>
      </c>
      <c r="H107" t="s">
        <v>16</v>
      </c>
      <c r="I107" t="s">
        <v>16</v>
      </c>
      <c r="J107" t="s">
        <v>17</v>
      </c>
      <c r="K107">
        <v>2</v>
      </c>
    </row>
    <row r="108" spans="1:11" x14ac:dyDescent="0.25">
      <c r="A108" t="s">
        <v>140</v>
      </c>
      <c r="B108" t="s">
        <v>71</v>
      </c>
      <c r="C108" t="s">
        <v>24</v>
      </c>
      <c r="D108" t="s">
        <v>21</v>
      </c>
      <c r="E108" s="1">
        <v>45346</v>
      </c>
      <c r="F108" s="1">
        <v>45350</v>
      </c>
      <c r="G108" t="s">
        <v>15</v>
      </c>
      <c r="H108" t="s">
        <v>16</v>
      </c>
      <c r="I108" t="s">
        <v>26</v>
      </c>
      <c r="J108" t="s">
        <v>32</v>
      </c>
      <c r="K108">
        <v>4</v>
      </c>
    </row>
    <row r="109" spans="1:11" x14ac:dyDescent="0.25">
      <c r="A109" t="s">
        <v>141</v>
      </c>
      <c r="B109" t="s">
        <v>12</v>
      </c>
      <c r="C109" t="s">
        <v>30</v>
      </c>
      <c r="D109" t="s">
        <v>14</v>
      </c>
      <c r="E109" s="1">
        <v>45346</v>
      </c>
      <c r="F109" s="1">
        <v>45348</v>
      </c>
      <c r="G109" t="s">
        <v>15</v>
      </c>
      <c r="H109" t="s">
        <v>16</v>
      </c>
      <c r="I109" t="s">
        <v>16</v>
      </c>
      <c r="J109" t="s">
        <v>17</v>
      </c>
      <c r="K109">
        <v>3</v>
      </c>
    </row>
    <row r="110" spans="1:11" x14ac:dyDescent="0.25">
      <c r="A110" t="s">
        <v>142</v>
      </c>
      <c r="B110" t="s">
        <v>72</v>
      </c>
      <c r="C110" t="s">
        <v>13</v>
      </c>
      <c r="D110" t="s">
        <v>25</v>
      </c>
      <c r="E110" s="1">
        <v>45347</v>
      </c>
      <c r="F110" s="1">
        <v>45351</v>
      </c>
      <c r="G110" t="s">
        <v>15</v>
      </c>
      <c r="H110" t="s">
        <v>26</v>
      </c>
      <c r="I110" t="s">
        <v>16</v>
      </c>
      <c r="J110" t="s">
        <v>17</v>
      </c>
      <c r="K110">
        <v>4</v>
      </c>
    </row>
    <row r="111" spans="1:11" x14ac:dyDescent="0.25">
      <c r="A111" t="s">
        <v>143</v>
      </c>
      <c r="B111" t="s">
        <v>19</v>
      </c>
      <c r="C111" t="s">
        <v>20</v>
      </c>
      <c r="D111" t="s">
        <v>21</v>
      </c>
      <c r="E111" s="1">
        <v>45347</v>
      </c>
      <c r="F111" s="1">
        <v>45349</v>
      </c>
      <c r="G111" t="s">
        <v>15</v>
      </c>
      <c r="H111" t="s">
        <v>16</v>
      </c>
      <c r="I111" t="s">
        <v>16</v>
      </c>
      <c r="J111" t="s">
        <v>17</v>
      </c>
      <c r="K111">
        <v>3</v>
      </c>
    </row>
    <row r="112" spans="1:11" x14ac:dyDescent="0.25">
      <c r="A112" t="s">
        <v>144</v>
      </c>
      <c r="B112" t="s">
        <v>23</v>
      </c>
      <c r="C112" t="s">
        <v>24</v>
      </c>
      <c r="D112" t="s">
        <v>14</v>
      </c>
      <c r="E112" s="1">
        <v>45348</v>
      </c>
      <c r="F112" s="1">
        <v>45348</v>
      </c>
      <c r="G112" t="s">
        <v>15</v>
      </c>
      <c r="H112" t="s">
        <v>16</v>
      </c>
      <c r="I112" t="s">
        <v>16</v>
      </c>
      <c r="J112" t="s">
        <v>17</v>
      </c>
      <c r="K112">
        <v>2</v>
      </c>
    </row>
    <row r="113" spans="1:11" x14ac:dyDescent="0.25">
      <c r="A113" t="s">
        <v>145</v>
      </c>
      <c r="B113" t="s">
        <v>73</v>
      </c>
      <c r="C113" t="s">
        <v>30</v>
      </c>
      <c r="D113" t="s">
        <v>25</v>
      </c>
      <c r="E113" s="1">
        <v>45348</v>
      </c>
      <c r="F113" s="1">
        <v>45352</v>
      </c>
      <c r="G113" t="s">
        <v>31</v>
      </c>
      <c r="H113" t="s">
        <v>26</v>
      </c>
      <c r="I113" t="s">
        <v>16</v>
      </c>
      <c r="J113" t="s">
        <v>38</v>
      </c>
      <c r="K113">
        <v>5</v>
      </c>
    </row>
    <row r="114" spans="1:11" x14ac:dyDescent="0.25">
      <c r="A114" t="s">
        <v>146</v>
      </c>
      <c r="B114" t="s">
        <v>69</v>
      </c>
      <c r="C114" t="s">
        <v>13</v>
      </c>
      <c r="D114" t="s">
        <v>21</v>
      </c>
      <c r="E114" s="1">
        <v>45349</v>
      </c>
      <c r="F114" s="1">
        <v>45353</v>
      </c>
      <c r="G114" t="s">
        <v>15</v>
      </c>
      <c r="H114" t="s">
        <v>16</v>
      </c>
      <c r="I114" t="s">
        <v>26</v>
      </c>
      <c r="J114" t="s">
        <v>32</v>
      </c>
      <c r="K114">
        <v>4</v>
      </c>
    </row>
    <row r="115" spans="1:11" x14ac:dyDescent="0.25">
      <c r="A115" t="s">
        <v>147</v>
      </c>
      <c r="B115" t="s">
        <v>29</v>
      </c>
      <c r="C115" t="s">
        <v>20</v>
      </c>
      <c r="D115" t="s">
        <v>14</v>
      </c>
      <c r="E115" s="1">
        <v>45349</v>
      </c>
      <c r="F115" s="1">
        <v>45349</v>
      </c>
      <c r="G115" t="s">
        <v>15</v>
      </c>
      <c r="H115" t="s">
        <v>16</v>
      </c>
      <c r="I115" t="s">
        <v>16</v>
      </c>
      <c r="J115" t="s">
        <v>17</v>
      </c>
      <c r="K115">
        <v>2</v>
      </c>
    </row>
    <row r="116" spans="1:11" x14ac:dyDescent="0.25">
      <c r="A116" t="s">
        <v>148</v>
      </c>
      <c r="B116" t="s">
        <v>71</v>
      </c>
      <c r="C116" t="s">
        <v>24</v>
      </c>
      <c r="D116" t="s">
        <v>25</v>
      </c>
      <c r="E116" s="1">
        <v>45350</v>
      </c>
      <c r="F116" s="1">
        <v>45354</v>
      </c>
      <c r="G116" t="s">
        <v>15</v>
      </c>
      <c r="H116" t="s">
        <v>26</v>
      </c>
      <c r="I116" t="s">
        <v>16</v>
      </c>
      <c r="J116" t="s">
        <v>17</v>
      </c>
      <c r="K116">
        <v>4</v>
      </c>
    </row>
    <row r="117" spans="1:11" x14ac:dyDescent="0.25">
      <c r="A117" t="s">
        <v>149</v>
      </c>
      <c r="B117" t="s">
        <v>12</v>
      </c>
      <c r="C117" t="s">
        <v>30</v>
      </c>
      <c r="D117" t="s">
        <v>21</v>
      </c>
      <c r="E117" s="1">
        <v>45350</v>
      </c>
      <c r="F117" s="1">
        <v>45352</v>
      </c>
      <c r="G117" t="s">
        <v>15</v>
      </c>
      <c r="H117" t="s">
        <v>16</v>
      </c>
      <c r="I117" t="s">
        <v>16</v>
      </c>
      <c r="J117" t="s">
        <v>17</v>
      </c>
      <c r="K117">
        <v>3</v>
      </c>
    </row>
    <row r="118" spans="1:11" x14ac:dyDescent="0.25">
      <c r="A118" t="s">
        <v>150</v>
      </c>
      <c r="B118" t="s">
        <v>70</v>
      </c>
      <c r="C118" t="s">
        <v>13</v>
      </c>
      <c r="D118" t="s">
        <v>14</v>
      </c>
      <c r="E118" s="1">
        <v>45351</v>
      </c>
      <c r="F118" s="1">
        <v>45351</v>
      </c>
      <c r="G118" t="s">
        <v>15</v>
      </c>
      <c r="H118" t="s">
        <v>16</v>
      </c>
      <c r="I118" t="s">
        <v>16</v>
      </c>
      <c r="J118" t="s">
        <v>17</v>
      </c>
      <c r="K118">
        <v>2</v>
      </c>
    </row>
    <row r="119" spans="1:11" x14ac:dyDescent="0.25">
      <c r="A119" t="s">
        <v>151</v>
      </c>
      <c r="B119" t="s">
        <v>72</v>
      </c>
      <c r="C119" t="s">
        <v>20</v>
      </c>
      <c r="D119" t="s">
        <v>25</v>
      </c>
      <c r="E119" s="1">
        <v>45351</v>
      </c>
      <c r="F119" s="1">
        <v>45355</v>
      </c>
      <c r="G119" t="s">
        <v>15</v>
      </c>
      <c r="H119" t="s">
        <v>26</v>
      </c>
      <c r="I119" t="s">
        <v>16</v>
      </c>
      <c r="J119" t="s">
        <v>17</v>
      </c>
      <c r="K119">
        <v>4</v>
      </c>
    </row>
    <row r="120" spans="1:11" x14ac:dyDescent="0.25">
      <c r="A120" t="s">
        <v>152</v>
      </c>
      <c r="B120" t="s">
        <v>19</v>
      </c>
      <c r="C120" t="s">
        <v>24</v>
      </c>
      <c r="D120" t="s">
        <v>21</v>
      </c>
      <c r="E120" s="1">
        <v>45352</v>
      </c>
      <c r="F120" s="1">
        <v>45356</v>
      </c>
      <c r="G120" t="s">
        <v>15</v>
      </c>
      <c r="H120" t="s">
        <v>16</v>
      </c>
      <c r="I120" t="s">
        <v>26</v>
      </c>
      <c r="J120" t="s">
        <v>32</v>
      </c>
      <c r="K120">
        <v>4</v>
      </c>
    </row>
    <row r="121" spans="1:11" x14ac:dyDescent="0.25">
      <c r="A121" t="s">
        <v>153</v>
      </c>
      <c r="B121" t="s">
        <v>23</v>
      </c>
      <c r="C121" t="s">
        <v>30</v>
      </c>
      <c r="D121" t="s">
        <v>14</v>
      </c>
      <c r="E121" s="1">
        <v>45352</v>
      </c>
      <c r="F121" s="1">
        <v>45352</v>
      </c>
      <c r="G121" t="s">
        <v>15</v>
      </c>
      <c r="H121" t="s">
        <v>16</v>
      </c>
      <c r="I121" t="s">
        <v>26</v>
      </c>
      <c r="J121" t="s">
        <v>32</v>
      </c>
      <c r="K121">
        <v>5</v>
      </c>
    </row>
    <row r="122" spans="1:11" x14ac:dyDescent="0.25">
      <c r="A122" t="s">
        <v>154</v>
      </c>
      <c r="B122" t="s">
        <v>69</v>
      </c>
      <c r="C122" t="s">
        <v>13</v>
      </c>
      <c r="D122" t="s">
        <v>25</v>
      </c>
      <c r="E122" s="1">
        <v>45353</v>
      </c>
      <c r="F122" s="1">
        <v>45357</v>
      </c>
      <c r="G122" t="s">
        <v>31</v>
      </c>
      <c r="H122" t="s">
        <v>26</v>
      </c>
      <c r="I122" t="s">
        <v>16</v>
      </c>
      <c r="J122" t="s">
        <v>38</v>
      </c>
      <c r="K122">
        <v>5</v>
      </c>
    </row>
    <row r="123" spans="1:11" x14ac:dyDescent="0.25">
      <c r="A123" t="s">
        <v>155</v>
      </c>
      <c r="B123" t="s">
        <v>73</v>
      </c>
      <c r="C123" t="s">
        <v>20</v>
      </c>
      <c r="D123" t="s">
        <v>14</v>
      </c>
      <c r="E123" s="1">
        <v>45353</v>
      </c>
      <c r="F123" s="1">
        <v>45354</v>
      </c>
      <c r="G123" t="s">
        <v>15</v>
      </c>
      <c r="H123" t="s">
        <v>16</v>
      </c>
      <c r="I123" t="s">
        <v>16</v>
      </c>
      <c r="J123" t="s">
        <v>17</v>
      </c>
      <c r="K123">
        <v>2</v>
      </c>
    </row>
    <row r="124" spans="1:11" x14ac:dyDescent="0.25">
      <c r="A124" t="s">
        <v>156</v>
      </c>
      <c r="B124" t="s">
        <v>29</v>
      </c>
      <c r="C124" t="s">
        <v>24</v>
      </c>
      <c r="D124" t="s">
        <v>21</v>
      </c>
      <c r="E124" s="1">
        <v>45354</v>
      </c>
      <c r="F124" s="1">
        <v>45358</v>
      </c>
      <c r="G124" t="s">
        <v>15</v>
      </c>
      <c r="H124" t="s">
        <v>16</v>
      </c>
      <c r="I124" t="s">
        <v>26</v>
      </c>
      <c r="J124" t="s">
        <v>32</v>
      </c>
      <c r="K124">
        <v>4</v>
      </c>
    </row>
    <row r="125" spans="1:11" x14ac:dyDescent="0.25">
      <c r="A125" t="s">
        <v>157</v>
      </c>
      <c r="B125" t="s">
        <v>12</v>
      </c>
      <c r="C125" t="s">
        <v>30</v>
      </c>
      <c r="D125" t="s">
        <v>25</v>
      </c>
      <c r="E125" s="1">
        <v>45354</v>
      </c>
      <c r="F125" s="1">
        <v>45359</v>
      </c>
      <c r="G125" t="s">
        <v>15</v>
      </c>
      <c r="H125" t="s">
        <v>26</v>
      </c>
      <c r="I125" t="s">
        <v>16</v>
      </c>
      <c r="J125" t="s">
        <v>17</v>
      </c>
      <c r="K125">
        <v>4</v>
      </c>
    </row>
    <row r="126" spans="1:11" x14ac:dyDescent="0.25">
      <c r="A126" t="s">
        <v>158</v>
      </c>
      <c r="B126" t="s">
        <v>71</v>
      </c>
      <c r="C126" t="s">
        <v>13</v>
      </c>
      <c r="D126" t="s">
        <v>14</v>
      </c>
      <c r="E126" s="1">
        <v>45355</v>
      </c>
      <c r="F126" s="1">
        <v>45355</v>
      </c>
      <c r="G126" t="s">
        <v>15</v>
      </c>
      <c r="H126" t="s">
        <v>16</v>
      </c>
      <c r="I126" t="s">
        <v>16</v>
      </c>
      <c r="J126" t="s">
        <v>17</v>
      </c>
      <c r="K126">
        <v>2</v>
      </c>
    </row>
    <row r="127" spans="1:11" x14ac:dyDescent="0.25">
      <c r="A127" t="s">
        <v>159</v>
      </c>
      <c r="B127" t="s">
        <v>19</v>
      </c>
      <c r="C127" t="s">
        <v>20</v>
      </c>
      <c r="D127" t="s">
        <v>21</v>
      </c>
      <c r="E127" s="1">
        <v>45355</v>
      </c>
      <c r="F127" s="1">
        <v>45357</v>
      </c>
      <c r="G127" t="s">
        <v>15</v>
      </c>
      <c r="H127" t="s">
        <v>16</v>
      </c>
      <c r="I127" t="s">
        <v>16</v>
      </c>
      <c r="J127" t="s">
        <v>17</v>
      </c>
      <c r="K127">
        <v>3</v>
      </c>
    </row>
    <row r="128" spans="1:11" x14ac:dyDescent="0.25">
      <c r="A128" t="s">
        <v>160</v>
      </c>
      <c r="B128" t="s">
        <v>72</v>
      </c>
      <c r="C128" t="s">
        <v>24</v>
      </c>
      <c r="D128" t="s">
        <v>25</v>
      </c>
      <c r="E128" s="1">
        <v>45356</v>
      </c>
      <c r="F128" s="1">
        <v>45360</v>
      </c>
      <c r="G128" t="s">
        <v>15</v>
      </c>
      <c r="H128" t="s">
        <v>26</v>
      </c>
      <c r="I128" t="s">
        <v>16</v>
      </c>
      <c r="J128" t="s">
        <v>17</v>
      </c>
      <c r="K128">
        <v>4</v>
      </c>
    </row>
    <row r="129" spans="1:11" x14ac:dyDescent="0.25">
      <c r="A129" t="s">
        <v>161</v>
      </c>
      <c r="B129" t="s">
        <v>70</v>
      </c>
      <c r="C129" t="s">
        <v>30</v>
      </c>
      <c r="D129" t="s">
        <v>14</v>
      </c>
      <c r="E129" s="1">
        <v>45356</v>
      </c>
      <c r="F129" s="1">
        <v>45356</v>
      </c>
      <c r="G129" t="s">
        <v>15</v>
      </c>
      <c r="H129" t="s">
        <v>16</v>
      </c>
      <c r="I129" t="s">
        <v>16</v>
      </c>
      <c r="J129" t="s">
        <v>17</v>
      </c>
      <c r="K129">
        <v>2</v>
      </c>
    </row>
    <row r="130" spans="1:11" x14ac:dyDescent="0.25">
      <c r="A130" t="s">
        <v>162</v>
      </c>
      <c r="B130" t="s">
        <v>69</v>
      </c>
      <c r="C130" t="s">
        <v>13</v>
      </c>
      <c r="D130" t="s">
        <v>21</v>
      </c>
      <c r="E130" s="1">
        <v>45357</v>
      </c>
      <c r="F130" s="1">
        <v>45361</v>
      </c>
      <c r="G130" t="s">
        <v>15</v>
      </c>
      <c r="H130" t="s">
        <v>16</v>
      </c>
      <c r="I130" t="s">
        <v>16</v>
      </c>
      <c r="J130" t="s">
        <v>17</v>
      </c>
      <c r="K130">
        <v>3</v>
      </c>
    </row>
    <row r="131" spans="1:11" x14ac:dyDescent="0.25">
      <c r="A131" t="s">
        <v>163</v>
      </c>
      <c r="B131" t="s">
        <v>23</v>
      </c>
      <c r="C131" t="s">
        <v>20</v>
      </c>
      <c r="D131" t="s">
        <v>25</v>
      </c>
      <c r="E131" s="1">
        <v>45357</v>
      </c>
      <c r="F131" s="1">
        <v>45362</v>
      </c>
      <c r="G131" t="s">
        <v>15</v>
      </c>
      <c r="H131" t="s">
        <v>26</v>
      </c>
      <c r="I131" t="s">
        <v>16</v>
      </c>
      <c r="J131" t="s">
        <v>17</v>
      </c>
      <c r="K131">
        <v>4</v>
      </c>
    </row>
    <row r="132" spans="1:11" x14ac:dyDescent="0.25">
      <c r="A132" t="s">
        <v>164</v>
      </c>
      <c r="B132" t="s">
        <v>12</v>
      </c>
      <c r="C132" t="s">
        <v>24</v>
      </c>
      <c r="D132" t="s">
        <v>14</v>
      </c>
      <c r="E132" s="1">
        <v>45358</v>
      </c>
      <c r="F132" s="1">
        <v>45358</v>
      </c>
      <c r="G132" t="s">
        <v>15</v>
      </c>
      <c r="H132" t="s">
        <v>16</v>
      </c>
      <c r="I132" t="s">
        <v>16</v>
      </c>
      <c r="J132" t="s">
        <v>17</v>
      </c>
      <c r="K132">
        <v>2</v>
      </c>
    </row>
    <row r="133" spans="1:11" x14ac:dyDescent="0.25">
      <c r="A133" t="s">
        <v>165</v>
      </c>
      <c r="B133" t="s">
        <v>29</v>
      </c>
      <c r="C133" t="s">
        <v>30</v>
      </c>
      <c r="D133" t="s">
        <v>21</v>
      </c>
      <c r="E133" s="1">
        <v>45358</v>
      </c>
      <c r="F133" s="1">
        <v>45360</v>
      </c>
      <c r="G133" t="s">
        <v>15</v>
      </c>
      <c r="H133" t="s">
        <v>16</v>
      </c>
      <c r="I133" t="s">
        <v>16</v>
      </c>
      <c r="J133" t="s">
        <v>17</v>
      </c>
      <c r="K133">
        <v>3</v>
      </c>
    </row>
    <row r="134" spans="1:11" x14ac:dyDescent="0.25">
      <c r="A134" t="s">
        <v>166</v>
      </c>
      <c r="B134" t="s">
        <v>71</v>
      </c>
      <c r="C134" t="s">
        <v>13</v>
      </c>
      <c r="D134" t="s">
        <v>25</v>
      </c>
      <c r="E134" s="1">
        <v>45359</v>
      </c>
      <c r="F134" s="1">
        <v>45363</v>
      </c>
      <c r="G134" t="s">
        <v>15</v>
      </c>
      <c r="H134" t="s">
        <v>26</v>
      </c>
      <c r="I134" t="s">
        <v>16</v>
      </c>
      <c r="J134" t="s">
        <v>17</v>
      </c>
      <c r="K134">
        <v>4</v>
      </c>
    </row>
    <row r="135" spans="1:11" x14ac:dyDescent="0.25">
      <c r="A135" t="s">
        <v>167</v>
      </c>
      <c r="B135" t="s">
        <v>73</v>
      </c>
      <c r="C135" t="s">
        <v>20</v>
      </c>
      <c r="D135" t="s">
        <v>14</v>
      </c>
      <c r="E135" s="1">
        <v>45359</v>
      </c>
      <c r="F135" s="1">
        <v>45359</v>
      </c>
      <c r="G135" t="s">
        <v>15</v>
      </c>
      <c r="H135" t="s">
        <v>16</v>
      </c>
      <c r="I135" t="s">
        <v>16</v>
      </c>
      <c r="J135" t="s">
        <v>17</v>
      </c>
      <c r="K135">
        <v>2</v>
      </c>
    </row>
    <row r="136" spans="1:11" x14ac:dyDescent="0.25">
      <c r="A136" t="s">
        <v>168</v>
      </c>
      <c r="B136" t="s">
        <v>19</v>
      </c>
      <c r="C136" t="s">
        <v>24</v>
      </c>
      <c r="D136" t="s">
        <v>21</v>
      </c>
      <c r="E136" s="1">
        <v>45360</v>
      </c>
      <c r="F136" s="1">
        <v>45364</v>
      </c>
      <c r="G136" t="s">
        <v>15</v>
      </c>
      <c r="H136" t="s">
        <v>16</v>
      </c>
      <c r="I136" t="s">
        <v>26</v>
      </c>
      <c r="J136" t="s">
        <v>32</v>
      </c>
      <c r="K136">
        <v>4</v>
      </c>
    </row>
    <row r="137" spans="1:11" x14ac:dyDescent="0.25">
      <c r="A137" t="s">
        <v>169</v>
      </c>
      <c r="B137" t="s">
        <v>72</v>
      </c>
      <c r="C137" t="s">
        <v>30</v>
      </c>
      <c r="D137" t="s">
        <v>25</v>
      </c>
      <c r="E137" s="1">
        <v>45360</v>
      </c>
      <c r="F137" s="1">
        <v>45365</v>
      </c>
      <c r="G137" t="s">
        <v>31</v>
      </c>
      <c r="H137" t="s">
        <v>26</v>
      </c>
      <c r="I137" t="s">
        <v>16</v>
      </c>
      <c r="J137" t="s">
        <v>38</v>
      </c>
      <c r="K137">
        <v>5</v>
      </c>
    </row>
    <row r="138" spans="1:11" x14ac:dyDescent="0.25">
      <c r="A138" t="s">
        <v>170</v>
      </c>
      <c r="B138" t="s">
        <v>12</v>
      </c>
      <c r="C138" t="s">
        <v>13</v>
      </c>
      <c r="D138" t="s">
        <v>14</v>
      </c>
      <c r="E138" s="1">
        <v>45361</v>
      </c>
      <c r="F138" s="1">
        <v>45361</v>
      </c>
      <c r="G138" t="s">
        <v>15</v>
      </c>
      <c r="H138" t="s">
        <v>16</v>
      </c>
      <c r="I138" t="s">
        <v>16</v>
      </c>
      <c r="J138" t="s">
        <v>17</v>
      </c>
      <c r="K138">
        <v>2</v>
      </c>
    </row>
    <row r="139" spans="1:11" x14ac:dyDescent="0.25">
      <c r="A139" t="s">
        <v>171</v>
      </c>
      <c r="B139" t="s">
        <v>23</v>
      </c>
      <c r="C139" t="s">
        <v>20</v>
      </c>
      <c r="D139" t="s">
        <v>21</v>
      </c>
      <c r="E139" s="1">
        <v>45361</v>
      </c>
      <c r="F139" s="1">
        <v>45363</v>
      </c>
      <c r="G139" t="s">
        <v>15</v>
      </c>
      <c r="H139" t="s">
        <v>16</v>
      </c>
      <c r="I139" t="s">
        <v>16</v>
      </c>
      <c r="J139" t="s">
        <v>17</v>
      </c>
      <c r="K139">
        <v>3</v>
      </c>
    </row>
    <row r="140" spans="1:11" x14ac:dyDescent="0.25">
      <c r="A140" t="s">
        <v>172</v>
      </c>
      <c r="B140" t="s">
        <v>70</v>
      </c>
      <c r="C140" t="s">
        <v>24</v>
      </c>
      <c r="D140" t="s">
        <v>25</v>
      </c>
      <c r="E140" s="1">
        <v>45362</v>
      </c>
      <c r="F140" s="1">
        <v>45366</v>
      </c>
      <c r="G140" t="s">
        <v>15</v>
      </c>
      <c r="H140" t="s">
        <v>26</v>
      </c>
      <c r="I140" t="s">
        <v>16</v>
      </c>
      <c r="J140" t="s">
        <v>17</v>
      </c>
      <c r="K140">
        <v>4</v>
      </c>
    </row>
    <row r="141" spans="1:11" x14ac:dyDescent="0.25">
      <c r="A141" t="s">
        <v>173</v>
      </c>
      <c r="B141" t="s">
        <v>69</v>
      </c>
      <c r="C141" t="s">
        <v>30</v>
      </c>
      <c r="D141" t="s">
        <v>14</v>
      </c>
      <c r="E141" s="1">
        <v>45362</v>
      </c>
      <c r="F141" s="1">
        <v>45362</v>
      </c>
      <c r="G141" t="s">
        <v>15</v>
      </c>
      <c r="H141" t="s">
        <v>16</v>
      </c>
      <c r="I141" t="s">
        <v>16</v>
      </c>
      <c r="J141" t="s">
        <v>17</v>
      </c>
      <c r="K141">
        <v>2</v>
      </c>
    </row>
    <row r="142" spans="1:11" x14ac:dyDescent="0.25">
      <c r="A142" t="s">
        <v>174</v>
      </c>
      <c r="B142" t="s">
        <v>19</v>
      </c>
      <c r="C142" t="s">
        <v>13</v>
      </c>
      <c r="D142" t="s">
        <v>25</v>
      </c>
      <c r="E142" s="1">
        <v>45363</v>
      </c>
      <c r="F142" s="1">
        <v>45367</v>
      </c>
      <c r="G142" t="s">
        <v>15</v>
      </c>
      <c r="H142" t="s">
        <v>26</v>
      </c>
      <c r="I142" t="s">
        <v>16</v>
      </c>
      <c r="J142" t="s">
        <v>17</v>
      </c>
      <c r="K142">
        <v>4</v>
      </c>
    </row>
    <row r="143" spans="1:11" x14ac:dyDescent="0.25">
      <c r="A143" t="s">
        <v>175</v>
      </c>
      <c r="B143" t="s">
        <v>71</v>
      </c>
      <c r="C143" t="s">
        <v>20</v>
      </c>
      <c r="D143" t="s">
        <v>14</v>
      </c>
      <c r="E143" s="1">
        <v>45363</v>
      </c>
      <c r="F143" s="1">
        <v>45363</v>
      </c>
      <c r="G143" t="s">
        <v>15</v>
      </c>
      <c r="H143" t="s">
        <v>16</v>
      </c>
      <c r="I143" t="s">
        <v>16</v>
      </c>
      <c r="J143" t="s">
        <v>17</v>
      </c>
      <c r="K143">
        <v>2</v>
      </c>
    </row>
    <row r="144" spans="1:11" x14ac:dyDescent="0.25">
      <c r="A144" t="s">
        <v>176</v>
      </c>
      <c r="B144" t="s">
        <v>29</v>
      </c>
      <c r="C144" t="s">
        <v>24</v>
      </c>
      <c r="D144" t="s">
        <v>21</v>
      </c>
      <c r="E144" s="1">
        <v>45364</v>
      </c>
      <c r="F144" s="1">
        <v>45368</v>
      </c>
      <c r="G144" t="s">
        <v>15</v>
      </c>
      <c r="H144" t="s">
        <v>16</v>
      </c>
      <c r="I144" t="s">
        <v>26</v>
      </c>
      <c r="J144" t="s">
        <v>32</v>
      </c>
      <c r="K144">
        <v>4</v>
      </c>
    </row>
    <row r="145" spans="1:11" x14ac:dyDescent="0.25">
      <c r="A145" t="s">
        <v>177</v>
      </c>
      <c r="B145" t="s">
        <v>73</v>
      </c>
      <c r="C145" t="s">
        <v>30</v>
      </c>
      <c r="D145" t="s">
        <v>25</v>
      </c>
      <c r="E145" s="1">
        <v>45364</v>
      </c>
      <c r="F145" s="1">
        <v>45369</v>
      </c>
      <c r="G145" t="s">
        <v>31</v>
      </c>
      <c r="H145" t="s">
        <v>26</v>
      </c>
      <c r="I145" t="s">
        <v>16</v>
      </c>
      <c r="J145" t="s">
        <v>38</v>
      </c>
      <c r="K145">
        <v>5</v>
      </c>
    </row>
    <row r="146" spans="1:11" x14ac:dyDescent="0.25">
      <c r="A146" t="s">
        <v>178</v>
      </c>
      <c r="B146" t="s">
        <v>12</v>
      </c>
      <c r="C146" t="s">
        <v>13</v>
      </c>
      <c r="D146" t="s">
        <v>14</v>
      </c>
      <c r="E146" s="1">
        <v>45365</v>
      </c>
      <c r="F146" s="1">
        <v>45365</v>
      </c>
      <c r="G146" t="s">
        <v>15</v>
      </c>
      <c r="H146" t="s">
        <v>16</v>
      </c>
      <c r="I146" t="s">
        <v>16</v>
      </c>
      <c r="J146" t="s">
        <v>17</v>
      </c>
      <c r="K146">
        <v>2</v>
      </c>
    </row>
    <row r="147" spans="1:11" x14ac:dyDescent="0.25">
      <c r="A147" t="s">
        <v>179</v>
      </c>
      <c r="B147" t="s">
        <v>69</v>
      </c>
      <c r="C147" t="s">
        <v>20</v>
      </c>
      <c r="D147" t="s">
        <v>21</v>
      </c>
      <c r="E147" s="1">
        <v>45365</v>
      </c>
      <c r="F147" s="1">
        <v>45367</v>
      </c>
      <c r="G147" t="s">
        <v>15</v>
      </c>
      <c r="H147" t="s">
        <v>16</v>
      </c>
      <c r="I147" t="s">
        <v>16</v>
      </c>
      <c r="J147" t="s">
        <v>17</v>
      </c>
      <c r="K147">
        <v>3</v>
      </c>
    </row>
    <row r="148" spans="1:11" x14ac:dyDescent="0.25">
      <c r="A148" t="s">
        <v>180</v>
      </c>
      <c r="B148" t="s">
        <v>23</v>
      </c>
      <c r="C148" t="s">
        <v>24</v>
      </c>
      <c r="D148" t="s">
        <v>25</v>
      </c>
      <c r="E148" s="1">
        <v>45366</v>
      </c>
      <c r="F148" s="1">
        <v>45370</v>
      </c>
      <c r="G148" t="s">
        <v>15</v>
      </c>
      <c r="H148" t="s">
        <v>26</v>
      </c>
      <c r="I148" t="s">
        <v>16</v>
      </c>
      <c r="J148" t="s">
        <v>17</v>
      </c>
      <c r="K148">
        <v>4</v>
      </c>
    </row>
    <row r="149" spans="1:11" x14ac:dyDescent="0.25">
      <c r="A149" t="s">
        <v>181</v>
      </c>
      <c r="B149" t="s">
        <v>72</v>
      </c>
      <c r="C149" t="s">
        <v>30</v>
      </c>
      <c r="D149" t="s">
        <v>14</v>
      </c>
      <c r="E149" s="1">
        <v>45366</v>
      </c>
      <c r="F149" s="1">
        <v>45366</v>
      </c>
      <c r="G149" t="s">
        <v>15</v>
      </c>
      <c r="H149" t="s">
        <v>16</v>
      </c>
      <c r="I149" t="s">
        <v>16</v>
      </c>
      <c r="J149" t="s">
        <v>17</v>
      </c>
      <c r="K149">
        <v>2</v>
      </c>
    </row>
    <row r="150" spans="1:11" x14ac:dyDescent="0.25">
      <c r="A150" t="s">
        <v>182</v>
      </c>
      <c r="B150" t="s">
        <v>70</v>
      </c>
      <c r="C150" t="s">
        <v>13</v>
      </c>
      <c r="D150" t="s">
        <v>21</v>
      </c>
      <c r="E150" s="1">
        <v>45367</v>
      </c>
      <c r="F150" s="1">
        <v>45371</v>
      </c>
      <c r="G150" t="s">
        <v>15</v>
      </c>
      <c r="H150" t="s">
        <v>16</v>
      </c>
      <c r="I150" t="s">
        <v>26</v>
      </c>
      <c r="J150" t="s">
        <v>32</v>
      </c>
      <c r="K150">
        <v>4</v>
      </c>
    </row>
    <row r="151" spans="1:11" x14ac:dyDescent="0.25">
      <c r="A151" t="s">
        <v>183</v>
      </c>
      <c r="B151" t="s">
        <v>19</v>
      </c>
      <c r="C151" t="s">
        <v>20</v>
      </c>
      <c r="D151" t="s">
        <v>25</v>
      </c>
      <c r="E151" s="1">
        <v>45367</v>
      </c>
      <c r="F151" s="1">
        <v>45372</v>
      </c>
      <c r="G151" t="s">
        <v>15</v>
      </c>
      <c r="H151" t="s">
        <v>26</v>
      </c>
      <c r="I151" t="s">
        <v>16</v>
      </c>
      <c r="J151" t="s">
        <v>17</v>
      </c>
      <c r="K151">
        <v>4</v>
      </c>
    </row>
    <row r="152" spans="1:11" x14ac:dyDescent="0.25">
      <c r="A152" t="s">
        <v>184</v>
      </c>
      <c r="B152" t="s">
        <v>12</v>
      </c>
      <c r="C152" t="s">
        <v>24</v>
      </c>
      <c r="D152" t="s">
        <v>14</v>
      </c>
      <c r="E152" s="1">
        <v>45368</v>
      </c>
      <c r="F152" s="1">
        <v>45368</v>
      </c>
      <c r="G152" t="s">
        <v>15</v>
      </c>
      <c r="H152" t="s">
        <v>16</v>
      </c>
      <c r="I152" t="s">
        <v>16</v>
      </c>
      <c r="J152" t="s">
        <v>17</v>
      </c>
      <c r="K152">
        <v>2</v>
      </c>
    </row>
    <row r="153" spans="1:11" x14ac:dyDescent="0.25">
      <c r="A153" t="s">
        <v>185</v>
      </c>
      <c r="B153" t="s">
        <v>29</v>
      </c>
      <c r="C153" t="s">
        <v>30</v>
      </c>
      <c r="D153" t="s">
        <v>21</v>
      </c>
      <c r="E153" s="1">
        <v>45368</v>
      </c>
      <c r="F153" s="1">
        <v>45370</v>
      </c>
      <c r="G153" t="s">
        <v>15</v>
      </c>
      <c r="H153" t="s">
        <v>16</v>
      </c>
      <c r="I153" t="s">
        <v>16</v>
      </c>
      <c r="J153" t="s">
        <v>17</v>
      </c>
      <c r="K153">
        <v>3</v>
      </c>
    </row>
    <row r="154" spans="1:11" x14ac:dyDescent="0.25">
      <c r="A154" t="s">
        <v>186</v>
      </c>
      <c r="B154" t="s">
        <v>71</v>
      </c>
      <c r="C154" t="s">
        <v>13</v>
      </c>
      <c r="D154" t="s">
        <v>25</v>
      </c>
      <c r="E154" s="1">
        <v>45369</v>
      </c>
      <c r="F154" s="1">
        <v>45373</v>
      </c>
      <c r="G154" t="s">
        <v>15</v>
      </c>
      <c r="H154" t="s">
        <v>26</v>
      </c>
      <c r="I154" t="s">
        <v>16</v>
      </c>
      <c r="J154" t="s">
        <v>17</v>
      </c>
      <c r="K154">
        <v>4</v>
      </c>
    </row>
    <row r="155" spans="1:11" x14ac:dyDescent="0.25">
      <c r="A155" t="s">
        <v>187</v>
      </c>
      <c r="B155" t="s">
        <v>73</v>
      </c>
      <c r="C155" t="s">
        <v>20</v>
      </c>
      <c r="D155" t="s">
        <v>14</v>
      </c>
      <c r="E155" s="1">
        <v>45369</v>
      </c>
      <c r="F155" s="1">
        <v>45369</v>
      </c>
      <c r="G155" t="s">
        <v>15</v>
      </c>
      <c r="H155" t="s">
        <v>16</v>
      </c>
      <c r="I155" t="s">
        <v>16</v>
      </c>
      <c r="J155" t="s">
        <v>17</v>
      </c>
      <c r="K155">
        <v>2</v>
      </c>
    </row>
    <row r="156" spans="1:11" x14ac:dyDescent="0.25">
      <c r="A156" t="s">
        <v>188</v>
      </c>
      <c r="B156" t="s">
        <v>69</v>
      </c>
      <c r="C156" t="s">
        <v>24</v>
      </c>
      <c r="D156" t="s">
        <v>21</v>
      </c>
      <c r="E156" s="1">
        <v>45370</v>
      </c>
      <c r="F156" s="1">
        <v>45374</v>
      </c>
      <c r="G156" t="s">
        <v>15</v>
      </c>
      <c r="H156" t="s">
        <v>16</v>
      </c>
      <c r="I156" t="s">
        <v>26</v>
      </c>
      <c r="J156" t="s">
        <v>32</v>
      </c>
      <c r="K156">
        <v>4</v>
      </c>
    </row>
    <row r="157" spans="1:11" x14ac:dyDescent="0.25">
      <c r="A157" t="s">
        <v>189</v>
      </c>
      <c r="B157" t="s">
        <v>12</v>
      </c>
      <c r="C157" t="s">
        <v>30</v>
      </c>
      <c r="D157" t="s">
        <v>25</v>
      </c>
      <c r="E157" s="1">
        <v>45370</v>
      </c>
      <c r="F157" s="1">
        <v>45375</v>
      </c>
      <c r="G157" t="s">
        <v>31</v>
      </c>
      <c r="H157" t="s">
        <v>26</v>
      </c>
      <c r="I157" t="s">
        <v>16</v>
      </c>
      <c r="J157" t="s">
        <v>38</v>
      </c>
      <c r="K157">
        <v>5</v>
      </c>
    </row>
    <row r="158" spans="1:11" x14ac:dyDescent="0.25">
      <c r="A158" t="s">
        <v>190</v>
      </c>
      <c r="B158" t="s">
        <v>23</v>
      </c>
      <c r="C158" t="s">
        <v>13</v>
      </c>
      <c r="D158" t="s">
        <v>14</v>
      </c>
      <c r="E158" s="1">
        <v>45371</v>
      </c>
      <c r="F158" s="1">
        <v>45371</v>
      </c>
      <c r="G158" t="s">
        <v>15</v>
      </c>
      <c r="H158" t="s">
        <v>16</v>
      </c>
      <c r="I158" t="s">
        <v>16</v>
      </c>
      <c r="J158" t="s">
        <v>17</v>
      </c>
      <c r="K158">
        <v>2</v>
      </c>
    </row>
    <row r="159" spans="1:11" x14ac:dyDescent="0.25">
      <c r="A159" t="s">
        <v>191</v>
      </c>
      <c r="B159" t="s">
        <v>72</v>
      </c>
      <c r="C159" t="s">
        <v>20</v>
      </c>
      <c r="D159" t="s">
        <v>21</v>
      </c>
      <c r="E159" s="1">
        <v>45371</v>
      </c>
      <c r="F159" s="1">
        <v>45373</v>
      </c>
      <c r="G159" t="s">
        <v>15</v>
      </c>
      <c r="H159" t="s">
        <v>16</v>
      </c>
      <c r="I159" t="s">
        <v>16</v>
      </c>
      <c r="J159" t="s">
        <v>17</v>
      </c>
      <c r="K159">
        <v>3</v>
      </c>
    </row>
    <row r="160" spans="1:11" x14ac:dyDescent="0.25">
      <c r="A160" t="s">
        <v>192</v>
      </c>
      <c r="B160" t="s">
        <v>70</v>
      </c>
      <c r="C160" t="s">
        <v>24</v>
      </c>
      <c r="D160" t="s">
        <v>25</v>
      </c>
      <c r="E160" s="1">
        <v>45372</v>
      </c>
      <c r="F160" s="1">
        <v>45376</v>
      </c>
      <c r="G160" t="s">
        <v>15</v>
      </c>
      <c r="H160" t="s">
        <v>26</v>
      </c>
      <c r="I160" t="s">
        <v>16</v>
      </c>
      <c r="J160" t="s">
        <v>17</v>
      </c>
      <c r="K160">
        <v>4</v>
      </c>
    </row>
    <row r="161" spans="1:11" x14ac:dyDescent="0.25">
      <c r="A161" t="s">
        <v>193</v>
      </c>
      <c r="B161" t="s">
        <v>19</v>
      </c>
      <c r="C161" t="s">
        <v>30</v>
      </c>
      <c r="D161" t="s">
        <v>14</v>
      </c>
      <c r="E161" s="1">
        <v>45372</v>
      </c>
      <c r="F161" s="1">
        <v>45372</v>
      </c>
      <c r="G161" t="s">
        <v>15</v>
      </c>
      <c r="H161" t="s">
        <v>16</v>
      </c>
      <c r="I161" t="s">
        <v>16</v>
      </c>
      <c r="J161" t="s">
        <v>17</v>
      </c>
      <c r="K161">
        <v>2</v>
      </c>
    </row>
    <row r="162" spans="1:11" x14ac:dyDescent="0.25">
      <c r="A162" t="s">
        <v>194</v>
      </c>
      <c r="B162" t="s">
        <v>69</v>
      </c>
      <c r="C162" t="s">
        <v>13</v>
      </c>
      <c r="D162" t="s">
        <v>25</v>
      </c>
      <c r="E162" s="1">
        <v>45373</v>
      </c>
      <c r="F162" s="1">
        <v>45377</v>
      </c>
      <c r="G162" t="s">
        <v>15</v>
      </c>
      <c r="H162" t="s">
        <v>26</v>
      </c>
      <c r="I162" t="s">
        <v>16</v>
      </c>
      <c r="J162" t="s">
        <v>17</v>
      </c>
      <c r="K162">
        <v>4</v>
      </c>
    </row>
    <row r="163" spans="1:11" x14ac:dyDescent="0.25">
      <c r="A163" t="s">
        <v>195</v>
      </c>
      <c r="B163" t="s">
        <v>71</v>
      </c>
      <c r="C163" t="s">
        <v>20</v>
      </c>
      <c r="D163" t="s">
        <v>14</v>
      </c>
      <c r="E163" s="1">
        <v>45373</v>
      </c>
      <c r="F163" s="1">
        <v>45373</v>
      </c>
      <c r="G163" t="s">
        <v>15</v>
      </c>
      <c r="H163" t="s">
        <v>16</v>
      </c>
      <c r="I163" t="s">
        <v>16</v>
      </c>
      <c r="J163" t="s">
        <v>17</v>
      </c>
      <c r="K163">
        <v>2</v>
      </c>
    </row>
    <row r="164" spans="1:11" x14ac:dyDescent="0.25">
      <c r="A164" t="s">
        <v>196</v>
      </c>
      <c r="B164" t="s">
        <v>29</v>
      </c>
      <c r="C164" t="s">
        <v>24</v>
      </c>
      <c r="D164" t="s">
        <v>21</v>
      </c>
      <c r="E164" s="1">
        <v>45374</v>
      </c>
      <c r="F164" s="1">
        <v>45378</v>
      </c>
      <c r="G164" t="s">
        <v>15</v>
      </c>
      <c r="H164" t="s">
        <v>16</v>
      </c>
      <c r="I164" t="s">
        <v>26</v>
      </c>
      <c r="J164" t="s">
        <v>32</v>
      </c>
      <c r="K164">
        <v>4</v>
      </c>
    </row>
    <row r="165" spans="1:11" x14ac:dyDescent="0.25">
      <c r="A165" t="s">
        <v>197</v>
      </c>
      <c r="B165" t="s">
        <v>73</v>
      </c>
      <c r="C165" t="s">
        <v>30</v>
      </c>
      <c r="D165" t="s">
        <v>25</v>
      </c>
      <c r="E165" s="1">
        <v>45374</v>
      </c>
      <c r="F165" s="1">
        <v>45379</v>
      </c>
      <c r="G165" t="s">
        <v>31</v>
      </c>
      <c r="H165" t="s">
        <v>26</v>
      </c>
      <c r="I165" t="s">
        <v>16</v>
      </c>
      <c r="J165" t="s">
        <v>38</v>
      </c>
      <c r="K165">
        <v>5</v>
      </c>
    </row>
    <row r="166" spans="1:11" x14ac:dyDescent="0.25">
      <c r="A166" t="s">
        <v>198</v>
      </c>
      <c r="B166" t="s">
        <v>12</v>
      </c>
      <c r="C166" t="s">
        <v>13</v>
      </c>
      <c r="D166" t="s">
        <v>14</v>
      </c>
      <c r="E166" s="1">
        <v>45375</v>
      </c>
      <c r="F166" s="1">
        <v>45375</v>
      </c>
      <c r="G166" t="s">
        <v>15</v>
      </c>
      <c r="H166" t="s">
        <v>16</v>
      </c>
      <c r="I166" t="s">
        <v>16</v>
      </c>
      <c r="J166" t="s">
        <v>17</v>
      </c>
      <c r="K166">
        <v>2</v>
      </c>
    </row>
    <row r="167" spans="1:11" x14ac:dyDescent="0.25">
      <c r="A167" t="s">
        <v>199</v>
      </c>
      <c r="B167" t="s">
        <v>69</v>
      </c>
      <c r="C167" t="s">
        <v>20</v>
      </c>
      <c r="D167" t="s">
        <v>21</v>
      </c>
      <c r="E167" s="1">
        <v>45375</v>
      </c>
      <c r="F167" s="1">
        <v>45377</v>
      </c>
      <c r="G167" t="s">
        <v>15</v>
      </c>
      <c r="H167" t="s">
        <v>16</v>
      </c>
      <c r="I167" t="s">
        <v>16</v>
      </c>
      <c r="J167" t="s">
        <v>17</v>
      </c>
      <c r="K167">
        <v>3</v>
      </c>
    </row>
    <row r="168" spans="1:11" x14ac:dyDescent="0.25">
      <c r="A168" t="s">
        <v>200</v>
      </c>
      <c r="B168" t="s">
        <v>23</v>
      </c>
      <c r="C168" t="s">
        <v>24</v>
      </c>
      <c r="D168" t="s">
        <v>25</v>
      </c>
      <c r="E168" s="1">
        <v>45376</v>
      </c>
      <c r="F168" s="1">
        <v>45380</v>
      </c>
      <c r="G168" t="s">
        <v>15</v>
      </c>
      <c r="H168" t="s">
        <v>26</v>
      </c>
      <c r="I168" t="s">
        <v>16</v>
      </c>
      <c r="J168" t="s">
        <v>17</v>
      </c>
      <c r="K168">
        <v>4</v>
      </c>
    </row>
    <row r="169" spans="1:11" x14ac:dyDescent="0.25">
      <c r="A169" t="s">
        <v>201</v>
      </c>
      <c r="B169" t="s">
        <v>72</v>
      </c>
      <c r="C169" t="s">
        <v>30</v>
      </c>
      <c r="D169" t="s">
        <v>14</v>
      </c>
      <c r="E169" s="1">
        <v>45376</v>
      </c>
      <c r="F169" s="1">
        <v>45376</v>
      </c>
      <c r="G169" t="s">
        <v>15</v>
      </c>
      <c r="H169" t="s">
        <v>16</v>
      </c>
      <c r="I169" t="s">
        <v>16</v>
      </c>
      <c r="J169" t="s">
        <v>17</v>
      </c>
      <c r="K169">
        <v>2</v>
      </c>
    </row>
    <row r="170" spans="1:11" x14ac:dyDescent="0.25">
      <c r="A170" t="s">
        <v>202</v>
      </c>
      <c r="B170" t="s">
        <v>70</v>
      </c>
      <c r="C170" t="s">
        <v>13</v>
      </c>
      <c r="D170" t="s">
        <v>21</v>
      </c>
      <c r="E170" s="1">
        <v>45377</v>
      </c>
      <c r="F170" s="1">
        <v>45381</v>
      </c>
      <c r="G170" t="s">
        <v>15</v>
      </c>
      <c r="H170" t="s">
        <v>16</v>
      </c>
      <c r="I170" t="s">
        <v>26</v>
      </c>
      <c r="J170" t="s">
        <v>32</v>
      </c>
      <c r="K170">
        <v>4</v>
      </c>
    </row>
    <row r="171" spans="1:11" x14ac:dyDescent="0.25">
      <c r="A171" t="s">
        <v>203</v>
      </c>
      <c r="B171" t="s">
        <v>19</v>
      </c>
      <c r="C171" t="s">
        <v>20</v>
      </c>
      <c r="D171" t="s">
        <v>25</v>
      </c>
      <c r="E171" s="1">
        <v>45377</v>
      </c>
      <c r="F171" s="1">
        <v>45382</v>
      </c>
      <c r="G171" t="s">
        <v>15</v>
      </c>
      <c r="H171" t="s">
        <v>26</v>
      </c>
      <c r="I171" t="s">
        <v>16</v>
      </c>
      <c r="J171" t="s">
        <v>17</v>
      </c>
      <c r="K171">
        <v>4</v>
      </c>
    </row>
    <row r="172" spans="1:11" x14ac:dyDescent="0.25">
      <c r="A172" t="s">
        <v>204</v>
      </c>
      <c r="B172" t="s">
        <v>12</v>
      </c>
      <c r="C172" t="s">
        <v>24</v>
      </c>
      <c r="D172" t="s">
        <v>14</v>
      </c>
      <c r="E172" s="1">
        <v>45378</v>
      </c>
      <c r="F172" s="1">
        <v>45378</v>
      </c>
      <c r="G172" t="s">
        <v>15</v>
      </c>
      <c r="H172" t="s">
        <v>16</v>
      </c>
      <c r="I172" t="s">
        <v>16</v>
      </c>
      <c r="J172" t="s">
        <v>17</v>
      </c>
      <c r="K172">
        <v>2</v>
      </c>
    </row>
    <row r="173" spans="1:11" x14ac:dyDescent="0.25">
      <c r="A173" t="s">
        <v>205</v>
      </c>
      <c r="B173" t="s">
        <v>29</v>
      </c>
      <c r="C173" t="s">
        <v>30</v>
      </c>
      <c r="D173" t="s">
        <v>21</v>
      </c>
      <c r="E173" s="1">
        <v>45378</v>
      </c>
      <c r="F173" s="1">
        <v>45380</v>
      </c>
      <c r="G173" t="s">
        <v>15</v>
      </c>
      <c r="H173" t="s">
        <v>16</v>
      </c>
      <c r="I173" t="s">
        <v>16</v>
      </c>
      <c r="J173" t="s">
        <v>17</v>
      </c>
      <c r="K173">
        <v>3</v>
      </c>
    </row>
    <row r="174" spans="1:11" x14ac:dyDescent="0.25">
      <c r="A174" t="s">
        <v>206</v>
      </c>
      <c r="B174" t="s">
        <v>71</v>
      </c>
      <c r="C174" t="s">
        <v>13</v>
      </c>
      <c r="D174" t="s">
        <v>25</v>
      </c>
      <c r="E174" s="1">
        <v>45379</v>
      </c>
      <c r="F174" s="1">
        <v>45383</v>
      </c>
      <c r="G174" t="s">
        <v>15</v>
      </c>
      <c r="H174" t="s">
        <v>26</v>
      </c>
      <c r="I174" t="s">
        <v>16</v>
      </c>
      <c r="J174" t="s">
        <v>17</v>
      </c>
      <c r="K174">
        <v>4</v>
      </c>
    </row>
    <row r="175" spans="1:11" x14ac:dyDescent="0.25">
      <c r="A175" t="s">
        <v>207</v>
      </c>
      <c r="B175" t="s">
        <v>73</v>
      </c>
      <c r="C175" t="s">
        <v>20</v>
      </c>
      <c r="D175" t="s">
        <v>14</v>
      </c>
      <c r="E175" s="1">
        <v>45379</v>
      </c>
      <c r="F175" s="1">
        <v>45379</v>
      </c>
      <c r="G175" t="s">
        <v>15</v>
      </c>
      <c r="H175" t="s">
        <v>16</v>
      </c>
      <c r="I175" t="s">
        <v>16</v>
      </c>
      <c r="J175" t="s">
        <v>17</v>
      </c>
      <c r="K175">
        <v>2</v>
      </c>
    </row>
    <row r="176" spans="1:11" x14ac:dyDescent="0.25">
      <c r="A176" t="s">
        <v>208</v>
      </c>
      <c r="B176" t="s">
        <v>69</v>
      </c>
      <c r="C176" t="s">
        <v>24</v>
      </c>
      <c r="D176" t="s">
        <v>21</v>
      </c>
      <c r="E176" s="1">
        <v>45380</v>
      </c>
      <c r="F176" s="1">
        <v>45384</v>
      </c>
      <c r="G176" t="s">
        <v>15</v>
      </c>
      <c r="H176" t="s">
        <v>16</v>
      </c>
      <c r="I176" t="s">
        <v>26</v>
      </c>
      <c r="J176" t="s">
        <v>32</v>
      </c>
      <c r="K176">
        <v>4</v>
      </c>
    </row>
    <row r="177" spans="1:11" x14ac:dyDescent="0.25">
      <c r="A177" t="s">
        <v>209</v>
      </c>
      <c r="B177" t="s">
        <v>12</v>
      </c>
      <c r="C177" t="s">
        <v>30</v>
      </c>
      <c r="D177" t="s">
        <v>25</v>
      </c>
      <c r="E177" s="1">
        <v>45380</v>
      </c>
      <c r="F177" s="1">
        <v>45385</v>
      </c>
      <c r="G177" t="s">
        <v>31</v>
      </c>
      <c r="H177" t="s">
        <v>26</v>
      </c>
      <c r="I177" t="s">
        <v>16</v>
      </c>
      <c r="J177" t="s">
        <v>38</v>
      </c>
      <c r="K177">
        <v>5</v>
      </c>
    </row>
    <row r="178" spans="1:11" x14ac:dyDescent="0.25">
      <c r="A178" t="s">
        <v>210</v>
      </c>
      <c r="B178" t="s">
        <v>23</v>
      </c>
      <c r="C178" t="s">
        <v>13</v>
      </c>
      <c r="D178" t="s">
        <v>14</v>
      </c>
      <c r="E178" s="1">
        <v>45381</v>
      </c>
      <c r="F178" s="1">
        <v>45381</v>
      </c>
      <c r="G178" t="s">
        <v>15</v>
      </c>
      <c r="H178" t="s">
        <v>16</v>
      </c>
      <c r="I178" t="s">
        <v>16</v>
      </c>
      <c r="J178" t="s">
        <v>17</v>
      </c>
      <c r="K178">
        <v>2</v>
      </c>
    </row>
    <row r="179" spans="1:11" x14ac:dyDescent="0.25">
      <c r="A179" t="s">
        <v>211</v>
      </c>
      <c r="B179" t="s">
        <v>72</v>
      </c>
      <c r="C179" t="s">
        <v>20</v>
      </c>
      <c r="D179" t="s">
        <v>21</v>
      </c>
      <c r="E179" s="1">
        <v>45381</v>
      </c>
      <c r="F179" s="1">
        <v>45383</v>
      </c>
      <c r="G179" t="s">
        <v>15</v>
      </c>
      <c r="H179" t="s">
        <v>16</v>
      </c>
      <c r="I179" t="s">
        <v>16</v>
      </c>
      <c r="J179" t="s">
        <v>17</v>
      </c>
      <c r="K179">
        <v>3</v>
      </c>
    </row>
    <row r="180" spans="1:11" x14ac:dyDescent="0.25">
      <c r="A180" t="s">
        <v>212</v>
      </c>
      <c r="B180" t="s">
        <v>70</v>
      </c>
      <c r="C180" t="s">
        <v>24</v>
      </c>
      <c r="D180" t="s">
        <v>25</v>
      </c>
      <c r="E180" s="1">
        <v>45382</v>
      </c>
      <c r="F180" s="1">
        <v>45386</v>
      </c>
      <c r="G180" t="s">
        <v>15</v>
      </c>
      <c r="H180" t="s">
        <v>26</v>
      </c>
      <c r="I180" t="s">
        <v>16</v>
      </c>
      <c r="J180" t="s">
        <v>17</v>
      </c>
      <c r="K180">
        <v>4</v>
      </c>
    </row>
    <row r="181" spans="1:11" x14ac:dyDescent="0.25">
      <c r="A181" t="s">
        <v>213</v>
      </c>
      <c r="B181" t="s">
        <v>19</v>
      </c>
      <c r="C181" t="s">
        <v>30</v>
      </c>
      <c r="D181" t="s">
        <v>14</v>
      </c>
      <c r="E181" s="1">
        <v>45382</v>
      </c>
      <c r="F181" s="1">
        <v>45382</v>
      </c>
      <c r="G181" t="s">
        <v>15</v>
      </c>
      <c r="H181" t="s">
        <v>16</v>
      </c>
      <c r="I181" t="s">
        <v>16</v>
      </c>
      <c r="J181" t="s">
        <v>17</v>
      </c>
      <c r="K181">
        <v>2</v>
      </c>
    </row>
    <row r="182" spans="1:11" x14ac:dyDescent="0.25">
      <c r="A182" t="s">
        <v>214</v>
      </c>
      <c r="B182" t="s">
        <v>69</v>
      </c>
      <c r="C182" t="s">
        <v>13</v>
      </c>
      <c r="D182" t="s">
        <v>25</v>
      </c>
      <c r="E182" s="1">
        <v>45383</v>
      </c>
      <c r="F182" s="1">
        <v>45387</v>
      </c>
      <c r="G182" t="s">
        <v>15</v>
      </c>
      <c r="H182" t="s">
        <v>26</v>
      </c>
      <c r="I182" t="s">
        <v>16</v>
      </c>
      <c r="J182" t="s">
        <v>17</v>
      </c>
      <c r="K182">
        <v>4</v>
      </c>
    </row>
    <row r="183" spans="1:11" x14ac:dyDescent="0.25">
      <c r="A183" t="s">
        <v>215</v>
      </c>
      <c r="B183" t="s">
        <v>71</v>
      </c>
      <c r="C183" t="s">
        <v>20</v>
      </c>
      <c r="D183" t="s">
        <v>14</v>
      </c>
      <c r="E183" s="1">
        <v>45383</v>
      </c>
      <c r="F183" s="1">
        <v>45383</v>
      </c>
      <c r="G183" t="s">
        <v>15</v>
      </c>
      <c r="H183" t="s">
        <v>16</v>
      </c>
      <c r="I183" t="s">
        <v>16</v>
      </c>
      <c r="J183" t="s">
        <v>17</v>
      </c>
      <c r="K183">
        <v>2</v>
      </c>
    </row>
    <row r="184" spans="1:11" x14ac:dyDescent="0.25">
      <c r="A184" t="s">
        <v>216</v>
      </c>
      <c r="B184" t="s">
        <v>29</v>
      </c>
      <c r="C184" t="s">
        <v>24</v>
      </c>
      <c r="D184" t="s">
        <v>21</v>
      </c>
      <c r="E184" s="1">
        <v>45384</v>
      </c>
      <c r="F184" s="1">
        <v>45388</v>
      </c>
      <c r="G184" t="s">
        <v>15</v>
      </c>
      <c r="H184" t="s">
        <v>16</v>
      </c>
      <c r="I184" t="s">
        <v>26</v>
      </c>
      <c r="J184" t="s">
        <v>32</v>
      </c>
      <c r="K184">
        <v>4</v>
      </c>
    </row>
    <row r="185" spans="1:11" x14ac:dyDescent="0.25">
      <c r="A185" t="s">
        <v>217</v>
      </c>
      <c r="B185" t="s">
        <v>73</v>
      </c>
      <c r="C185" t="s">
        <v>30</v>
      </c>
      <c r="D185" t="s">
        <v>25</v>
      </c>
      <c r="E185" s="1">
        <v>45384</v>
      </c>
      <c r="F185" s="1">
        <v>45389</v>
      </c>
      <c r="G185" t="s">
        <v>31</v>
      </c>
      <c r="H185" t="s">
        <v>26</v>
      </c>
      <c r="I185" t="s">
        <v>16</v>
      </c>
      <c r="J185" t="s">
        <v>38</v>
      </c>
      <c r="K185">
        <v>5</v>
      </c>
    </row>
    <row r="186" spans="1:11" x14ac:dyDescent="0.25">
      <c r="A186" t="s">
        <v>218</v>
      </c>
      <c r="B186" t="s">
        <v>12</v>
      </c>
      <c r="C186" t="s">
        <v>13</v>
      </c>
      <c r="D186" t="s">
        <v>14</v>
      </c>
      <c r="E186" s="1">
        <v>45385</v>
      </c>
      <c r="F186" s="1">
        <v>45385</v>
      </c>
      <c r="G186" t="s">
        <v>15</v>
      </c>
      <c r="H186" t="s">
        <v>16</v>
      </c>
      <c r="I186" t="s">
        <v>16</v>
      </c>
      <c r="J186" t="s">
        <v>17</v>
      </c>
      <c r="K186">
        <v>2</v>
      </c>
    </row>
    <row r="187" spans="1:11" x14ac:dyDescent="0.25">
      <c r="A187" t="s">
        <v>219</v>
      </c>
      <c r="B187" t="s">
        <v>69</v>
      </c>
      <c r="C187" t="s">
        <v>20</v>
      </c>
      <c r="D187" t="s">
        <v>21</v>
      </c>
      <c r="E187" s="1">
        <v>45385</v>
      </c>
      <c r="F187" s="1">
        <v>45387</v>
      </c>
      <c r="G187" t="s">
        <v>15</v>
      </c>
      <c r="H187" t="s">
        <v>16</v>
      </c>
      <c r="I187" t="s">
        <v>16</v>
      </c>
      <c r="J187" t="s">
        <v>17</v>
      </c>
      <c r="K187">
        <v>3</v>
      </c>
    </row>
    <row r="188" spans="1:11" x14ac:dyDescent="0.25">
      <c r="A188" t="s">
        <v>220</v>
      </c>
      <c r="B188" t="s">
        <v>23</v>
      </c>
      <c r="C188" t="s">
        <v>24</v>
      </c>
      <c r="D188" t="s">
        <v>25</v>
      </c>
      <c r="E188" s="1">
        <v>45386</v>
      </c>
      <c r="F188" s="1">
        <v>45390</v>
      </c>
      <c r="G188" t="s">
        <v>15</v>
      </c>
      <c r="H188" t="s">
        <v>26</v>
      </c>
      <c r="I188" t="s">
        <v>16</v>
      </c>
      <c r="J188" t="s">
        <v>17</v>
      </c>
      <c r="K188">
        <v>4</v>
      </c>
    </row>
    <row r="189" spans="1:11" x14ac:dyDescent="0.25">
      <c r="A189" t="s">
        <v>221</v>
      </c>
      <c r="B189" t="s">
        <v>72</v>
      </c>
      <c r="C189" t="s">
        <v>30</v>
      </c>
      <c r="D189" t="s">
        <v>14</v>
      </c>
      <c r="E189" s="1">
        <v>45386</v>
      </c>
      <c r="F189" s="1">
        <v>45386</v>
      </c>
      <c r="G189" t="s">
        <v>15</v>
      </c>
      <c r="H189" t="s">
        <v>16</v>
      </c>
      <c r="I189" t="s">
        <v>16</v>
      </c>
      <c r="J189" t="s">
        <v>17</v>
      </c>
      <c r="K189">
        <v>2</v>
      </c>
    </row>
    <row r="190" spans="1:11" x14ac:dyDescent="0.25">
      <c r="A190" t="s">
        <v>222</v>
      </c>
      <c r="B190" t="s">
        <v>70</v>
      </c>
      <c r="C190" t="s">
        <v>13</v>
      </c>
      <c r="D190" t="s">
        <v>21</v>
      </c>
      <c r="E190" s="1">
        <v>45387</v>
      </c>
      <c r="F190" s="1">
        <v>45391</v>
      </c>
      <c r="G190" t="s">
        <v>15</v>
      </c>
      <c r="H190" t="s">
        <v>16</v>
      </c>
      <c r="I190" t="s">
        <v>26</v>
      </c>
      <c r="J190" t="s">
        <v>32</v>
      </c>
      <c r="K190">
        <v>4</v>
      </c>
    </row>
    <row r="191" spans="1:11" x14ac:dyDescent="0.25">
      <c r="A191" t="s">
        <v>223</v>
      </c>
      <c r="B191" t="s">
        <v>19</v>
      </c>
      <c r="C191" t="s">
        <v>20</v>
      </c>
      <c r="D191" t="s">
        <v>25</v>
      </c>
      <c r="E191" s="1">
        <v>45387</v>
      </c>
      <c r="F191" s="1">
        <v>45392</v>
      </c>
      <c r="G191" t="s">
        <v>15</v>
      </c>
      <c r="H191" t="s">
        <v>26</v>
      </c>
      <c r="I191" t="s">
        <v>16</v>
      </c>
      <c r="J191" t="s">
        <v>17</v>
      </c>
      <c r="K191">
        <v>4</v>
      </c>
    </row>
    <row r="192" spans="1:11" x14ac:dyDescent="0.25">
      <c r="A192" t="s">
        <v>224</v>
      </c>
      <c r="B192" t="s">
        <v>12</v>
      </c>
      <c r="C192" t="s">
        <v>24</v>
      </c>
      <c r="D192" t="s">
        <v>14</v>
      </c>
      <c r="E192" s="1">
        <v>45388</v>
      </c>
      <c r="F192" s="1">
        <v>45388</v>
      </c>
      <c r="G192" t="s">
        <v>15</v>
      </c>
      <c r="H192" t="s">
        <v>16</v>
      </c>
      <c r="I192" t="s">
        <v>16</v>
      </c>
      <c r="J192" t="s">
        <v>17</v>
      </c>
      <c r="K192">
        <v>2</v>
      </c>
    </row>
    <row r="193" spans="1:11" x14ac:dyDescent="0.25">
      <c r="A193" t="s">
        <v>225</v>
      </c>
      <c r="B193" t="s">
        <v>29</v>
      </c>
      <c r="C193" t="s">
        <v>30</v>
      </c>
      <c r="D193" t="s">
        <v>21</v>
      </c>
      <c r="E193" s="1">
        <v>45388</v>
      </c>
      <c r="F193" s="1">
        <v>45390</v>
      </c>
      <c r="G193" t="s">
        <v>15</v>
      </c>
      <c r="H193" t="s">
        <v>16</v>
      </c>
      <c r="I193" t="s">
        <v>16</v>
      </c>
      <c r="J193" t="s">
        <v>17</v>
      </c>
      <c r="K193">
        <v>3</v>
      </c>
    </row>
    <row r="194" spans="1:11" x14ac:dyDescent="0.25">
      <c r="A194" t="s">
        <v>226</v>
      </c>
      <c r="B194" t="s">
        <v>71</v>
      </c>
      <c r="C194" t="s">
        <v>13</v>
      </c>
      <c r="D194" t="s">
        <v>25</v>
      </c>
      <c r="E194" s="1">
        <v>45389</v>
      </c>
      <c r="F194" s="1">
        <v>45393</v>
      </c>
      <c r="G194" t="s">
        <v>15</v>
      </c>
      <c r="H194" t="s">
        <v>26</v>
      </c>
      <c r="I194" t="s">
        <v>16</v>
      </c>
      <c r="J194" t="s">
        <v>17</v>
      </c>
      <c r="K194">
        <v>4</v>
      </c>
    </row>
    <row r="195" spans="1:11" x14ac:dyDescent="0.25">
      <c r="A195" t="s">
        <v>227</v>
      </c>
      <c r="B195" t="s">
        <v>73</v>
      </c>
      <c r="C195" t="s">
        <v>20</v>
      </c>
      <c r="D195" t="s">
        <v>14</v>
      </c>
      <c r="E195" s="1">
        <v>45389</v>
      </c>
      <c r="F195" s="1">
        <v>45389</v>
      </c>
      <c r="G195" t="s">
        <v>15</v>
      </c>
      <c r="H195" t="s">
        <v>16</v>
      </c>
      <c r="I195" t="s">
        <v>16</v>
      </c>
      <c r="J195" t="s">
        <v>17</v>
      </c>
      <c r="K195">
        <v>2</v>
      </c>
    </row>
    <row r="196" spans="1:11" x14ac:dyDescent="0.25">
      <c r="A196" t="s">
        <v>228</v>
      </c>
      <c r="B196" t="s">
        <v>69</v>
      </c>
      <c r="C196" t="s">
        <v>24</v>
      </c>
      <c r="D196" t="s">
        <v>21</v>
      </c>
      <c r="E196" s="1">
        <v>45390</v>
      </c>
      <c r="F196" s="1">
        <v>45394</v>
      </c>
      <c r="G196" t="s">
        <v>15</v>
      </c>
      <c r="H196" t="s">
        <v>16</v>
      </c>
      <c r="I196" t="s">
        <v>26</v>
      </c>
      <c r="J196" t="s">
        <v>32</v>
      </c>
      <c r="K196">
        <v>4</v>
      </c>
    </row>
    <row r="197" spans="1:11" x14ac:dyDescent="0.25">
      <c r="A197" t="s">
        <v>229</v>
      </c>
      <c r="B197" t="s">
        <v>12</v>
      </c>
      <c r="C197" t="s">
        <v>30</v>
      </c>
      <c r="D197" t="s">
        <v>25</v>
      </c>
      <c r="E197" s="1">
        <v>45390</v>
      </c>
      <c r="F197" s="1">
        <v>45395</v>
      </c>
      <c r="G197" t="s">
        <v>31</v>
      </c>
      <c r="H197" t="s">
        <v>26</v>
      </c>
      <c r="I197" t="s">
        <v>16</v>
      </c>
      <c r="J197" t="s">
        <v>38</v>
      </c>
      <c r="K197">
        <v>5</v>
      </c>
    </row>
    <row r="198" spans="1:11" x14ac:dyDescent="0.25">
      <c r="A198" t="s">
        <v>230</v>
      </c>
      <c r="B198" t="s">
        <v>23</v>
      </c>
      <c r="C198" t="s">
        <v>13</v>
      </c>
      <c r="D198" t="s">
        <v>14</v>
      </c>
      <c r="E198" s="1">
        <v>45391</v>
      </c>
      <c r="F198" s="1">
        <v>45391</v>
      </c>
      <c r="G198" t="s">
        <v>15</v>
      </c>
      <c r="H198" t="s">
        <v>16</v>
      </c>
      <c r="I198" t="s">
        <v>16</v>
      </c>
      <c r="J198" t="s">
        <v>17</v>
      </c>
      <c r="K198">
        <v>2</v>
      </c>
    </row>
    <row r="199" spans="1:11" x14ac:dyDescent="0.25">
      <c r="A199" t="s">
        <v>231</v>
      </c>
      <c r="B199" t="s">
        <v>72</v>
      </c>
      <c r="C199" t="s">
        <v>20</v>
      </c>
      <c r="D199" t="s">
        <v>21</v>
      </c>
      <c r="E199" s="1">
        <v>45391</v>
      </c>
      <c r="F199" s="1">
        <v>45393</v>
      </c>
      <c r="G199" t="s">
        <v>15</v>
      </c>
      <c r="H199" t="s">
        <v>16</v>
      </c>
      <c r="I199" t="s">
        <v>16</v>
      </c>
      <c r="J199" t="s">
        <v>17</v>
      </c>
      <c r="K199">
        <v>3</v>
      </c>
    </row>
    <row r="200" spans="1:11" x14ac:dyDescent="0.25">
      <c r="A200" t="s">
        <v>232</v>
      </c>
      <c r="B200" t="s">
        <v>70</v>
      </c>
      <c r="C200" t="s">
        <v>24</v>
      </c>
      <c r="D200" t="s">
        <v>25</v>
      </c>
      <c r="E200" s="1">
        <v>45392</v>
      </c>
      <c r="F200" s="1">
        <v>45396</v>
      </c>
      <c r="G200" t="s">
        <v>15</v>
      </c>
      <c r="H200" t="s">
        <v>26</v>
      </c>
      <c r="I200" t="s">
        <v>16</v>
      </c>
      <c r="J200" t="s">
        <v>17</v>
      </c>
      <c r="K200">
        <v>4</v>
      </c>
    </row>
    <row r="201" spans="1:11" x14ac:dyDescent="0.25">
      <c r="A201" t="s">
        <v>233</v>
      </c>
      <c r="B201" t="s">
        <v>19</v>
      </c>
      <c r="C201" t="s">
        <v>30</v>
      </c>
      <c r="D201" t="s">
        <v>14</v>
      </c>
      <c r="E201" s="1">
        <v>45392</v>
      </c>
      <c r="F201" s="1">
        <v>45392</v>
      </c>
      <c r="G201" t="s">
        <v>15</v>
      </c>
      <c r="H201" t="s">
        <v>16</v>
      </c>
      <c r="I201" t="s">
        <v>16</v>
      </c>
      <c r="J201" t="s">
        <v>17</v>
      </c>
      <c r="K2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zoomScale="106" zoomScaleNormal="106" workbookViewId="0">
      <selection sqref="A1:H46"/>
    </sheetView>
  </sheetViews>
  <sheetFormatPr defaultRowHeight="15" x14ac:dyDescent="0.25"/>
  <cols>
    <col min="1" max="1" width="3.7109375" customWidth="1"/>
    <col min="2" max="7" width="22.7109375" customWidth="1"/>
    <col min="8" max="8" width="3.7109375" customWidth="1"/>
  </cols>
  <sheetData>
    <row r="1" spans="1:11" x14ac:dyDescent="0.25">
      <c r="A1" s="10"/>
      <c r="B1" s="10"/>
      <c r="C1" s="10"/>
      <c r="D1" s="10"/>
      <c r="E1" s="10"/>
      <c r="F1" s="10"/>
      <c r="G1" s="10"/>
      <c r="H1" s="4"/>
    </row>
    <row r="2" spans="1:11" ht="39.950000000000003" customHeight="1" x14ac:dyDescent="0.25">
      <c r="A2" s="10"/>
      <c r="B2" s="29" t="s">
        <v>234</v>
      </c>
      <c r="C2" s="29"/>
      <c r="D2" s="29"/>
      <c r="E2" s="29"/>
      <c r="F2" s="29"/>
      <c r="G2" s="29"/>
      <c r="H2" s="4"/>
    </row>
    <row r="3" spans="1:11" ht="15.75" thickBot="1" x14ac:dyDescent="0.3">
      <c r="A3" s="10"/>
      <c r="B3" s="10"/>
      <c r="C3" s="14"/>
      <c r="D3" s="10"/>
      <c r="E3" s="10"/>
      <c r="F3" s="10"/>
      <c r="G3" s="10"/>
      <c r="H3" s="4"/>
    </row>
    <row r="4" spans="1:11" ht="15.75" thickBot="1" x14ac:dyDescent="0.3">
      <c r="A4" s="10"/>
      <c r="B4" s="30" t="s">
        <v>235</v>
      </c>
      <c r="C4" s="31"/>
      <c r="D4" s="36" t="s">
        <v>236</v>
      </c>
      <c r="E4" s="37"/>
      <c r="F4" s="23" t="s">
        <v>237</v>
      </c>
      <c r="G4" s="24"/>
      <c r="H4" s="4"/>
    </row>
    <row r="5" spans="1:11" ht="36" customHeight="1" x14ac:dyDescent="0.25">
      <c r="A5" s="10"/>
      <c r="B5" s="32">
        <f>COUNTA(Data_Set!A2:A201)</f>
        <v>200</v>
      </c>
      <c r="C5" s="33"/>
      <c r="D5" s="38">
        <f>COUNTIF(Data_Set!H2:H201,"Yes")+COUNTIF(Data_Set!G2:G201,"Fail")</f>
        <v>87</v>
      </c>
      <c r="E5" s="39"/>
      <c r="F5" s="42">
        <f>COUNTIF(Data_Set!I2:I201,"Yes")</f>
        <v>31</v>
      </c>
      <c r="G5" s="43"/>
      <c r="H5" s="4"/>
    </row>
    <row r="6" spans="1:11" ht="15" customHeight="1" thickBot="1" x14ac:dyDescent="0.3">
      <c r="A6" s="10"/>
      <c r="B6" s="34"/>
      <c r="C6" s="35"/>
      <c r="D6" s="40"/>
      <c r="E6" s="41"/>
      <c r="F6" s="44"/>
      <c r="G6" s="45"/>
      <c r="H6" s="4"/>
      <c r="K6" s="15"/>
    </row>
    <row r="7" spans="1:11" ht="15.75" thickBot="1" x14ac:dyDescent="0.3">
      <c r="A7" s="10"/>
      <c r="B7" s="10"/>
      <c r="C7" s="10"/>
      <c r="D7" s="10"/>
      <c r="E7" s="10"/>
      <c r="F7" s="10"/>
      <c r="G7" s="10"/>
      <c r="H7" s="4"/>
    </row>
    <row r="8" spans="1:11" ht="15.75" thickBot="1" x14ac:dyDescent="0.3">
      <c r="A8" s="10"/>
      <c r="B8" s="17" t="s">
        <v>238</v>
      </c>
      <c r="C8" s="18"/>
      <c r="D8" s="10"/>
      <c r="E8" s="10"/>
      <c r="F8" s="23" t="s">
        <v>239</v>
      </c>
      <c r="G8" s="24"/>
      <c r="H8" s="4"/>
    </row>
    <row r="9" spans="1:11" ht="36" customHeight="1" x14ac:dyDescent="0.25">
      <c r="A9" s="10"/>
      <c r="B9" s="19">
        <f>AVERAGE(Data_Set!K2:K201)</f>
        <v>3.26</v>
      </c>
      <c r="C9" s="20"/>
      <c r="D9" s="10"/>
      <c r="E9" s="10"/>
      <c r="F9" s="25">
        <f>D5/B5</f>
        <v>0.435</v>
      </c>
      <c r="G9" s="26"/>
      <c r="H9" s="4"/>
    </row>
    <row r="10" spans="1:11" ht="15" customHeight="1" thickBot="1" x14ac:dyDescent="0.3">
      <c r="A10" s="10"/>
      <c r="B10" s="21"/>
      <c r="C10" s="22"/>
      <c r="D10" s="10"/>
      <c r="E10" s="10"/>
      <c r="F10" s="27"/>
      <c r="G10" s="28"/>
      <c r="H10" s="4"/>
      <c r="K10" s="16"/>
    </row>
    <row r="11" spans="1:11" x14ac:dyDescent="0.25">
      <c r="A11" s="4"/>
      <c r="B11" s="4"/>
      <c r="C11" s="4"/>
      <c r="D11" s="4"/>
      <c r="E11" s="4"/>
      <c r="F11" s="4"/>
      <c r="G11" s="4"/>
      <c r="H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</row>
    <row r="13" spans="1:11" x14ac:dyDescent="0.25">
      <c r="A13" s="4"/>
      <c r="B13" s="4"/>
      <c r="C13" s="4"/>
      <c r="D13" s="4"/>
      <c r="E13" s="4"/>
      <c r="F13" s="4"/>
      <c r="G13" s="4"/>
      <c r="H13" s="4"/>
    </row>
    <row r="14" spans="1:11" ht="15.75" thickBot="1" x14ac:dyDescent="0.3">
      <c r="A14" s="4"/>
      <c r="B14" s="4"/>
      <c r="C14" s="4"/>
      <c r="D14" s="4"/>
      <c r="E14" s="4"/>
      <c r="F14" s="4"/>
      <c r="G14" s="4"/>
      <c r="H14" s="4"/>
    </row>
    <row r="15" spans="1:11" ht="15.75" thickBot="1" x14ac:dyDescent="0.3">
      <c r="A15" s="4"/>
      <c r="B15" s="4"/>
      <c r="C15" s="4"/>
      <c r="D15" s="4"/>
      <c r="E15" s="4"/>
      <c r="F15" s="4"/>
      <c r="G15" s="4"/>
      <c r="H15" s="4"/>
      <c r="J15" s="13"/>
    </row>
    <row r="16" spans="1:11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12"/>
      <c r="D44" s="12"/>
      <c r="E44" s="12"/>
      <c r="F44" s="12"/>
      <c r="G44" s="4"/>
      <c r="H44" s="4"/>
    </row>
    <row r="45" spans="1:8" x14ac:dyDescent="0.25">
      <c r="A45" s="4"/>
      <c r="B45" s="4"/>
      <c r="C45" s="12"/>
      <c r="D45" s="12"/>
      <c r="E45" s="12"/>
      <c r="F45" s="12"/>
      <c r="G45" s="4"/>
      <c r="H45" s="4"/>
    </row>
    <row r="46" spans="1:8" x14ac:dyDescent="0.25">
      <c r="A46" s="4"/>
      <c r="B46" s="4"/>
      <c r="C46" s="12"/>
      <c r="D46" s="12"/>
      <c r="E46" s="12"/>
      <c r="F46" s="12"/>
      <c r="G46" s="4"/>
      <c r="H46" s="4"/>
    </row>
  </sheetData>
  <mergeCells count="11">
    <mergeCell ref="B8:C8"/>
    <mergeCell ref="B9:C10"/>
    <mergeCell ref="F8:G8"/>
    <mergeCell ref="F9:G10"/>
    <mergeCell ref="B2:G2"/>
    <mergeCell ref="B4:C4"/>
    <mergeCell ref="B5:C6"/>
    <mergeCell ref="D4:E4"/>
    <mergeCell ref="D5:E6"/>
    <mergeCell ref="F4:G4"/>
    <mergeCell ref="F5:G6"/>
  </mergeCells>
  <pageMargins left="0.7" right="0.7" top="0.75" bottom="0.75" header="0.3" footer="0.3"/>
  <pageSetup paperSize="9" scale="70" fitToWidth="0" fitToHeight="0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28" sqref="E28"/>
    </sheetView>
  </sheetViews>
  <sheetFormatPr defaultRowHeight="15" x14ac:dyDescent="0.25"/>
  <cols>
    <col min="1" max="1" width="13.140625" bestFit="1" customWidth="1"/>
    <col min="2" max="2" width="21.140625" bestFit="1" customWidth="1"/>
    <col min="3" max="3" width="21.140625" customWidth="1"/>
    <col min="4" max="4" width="18.7109375" bestFit="1" customWidth="1"/>
    <col min="5" max="5" width="21.140625" customWidth="1"/>
    <col min="7" max="7" width="25" customWidth="1"/>
    <col min="8" max="8" width="18" customWidth="1"/>
    <col min="10" max="10" width="15.42578125" customWidth="1"/>
  </cols>
  <sheetData>
    <row r="1" spans="1:12" x14ac:dyDescent="0.25">
      <c r="A1" s="5" t="s">
        <v>8</v>
      </c>
      <c r="B1" t="s">
        <v>26</v>
      </c>
      <c r="D1" s="5" t="s">
        <v>7</v>
      </c>
      <c r="E1" t="s">
        <v>26</v>
      </c>
      <c r="G1" s="5" t="s">
        <v>8</v>
      </c>
      <c r="H1" t="s">
        <v>26</v>
      </c>
      <c r="J1" s="5" t="s">
        <v>7</v>
      </c>
      <c r="K1" t="s">
        <v>26</v>
      </c>
    </row>
    <row r="3" spans="1:12" x14ac:dyDescent="0.25">
      <c r="A3" s="5" t="s">
        <v>240</v>
      </c>
      <c r="B3" t="s">
        <v>242</v>
      </c>
      <c r="D3" s="5" t="s">
        <v>240</v>
      </c>
      <c r="E3" t="s">
        <v>243</v>
      </c>
      <c r="G3" s="5" t="s">
        <v>240</v>
      </c>
      <c r="H3" t="s">
        <v>242</v>
      </c>
      <c r="I3" t="s">
        <v>244</v>
      </c>
      <c r="J3" s="5" t="s">
        <v>240</v>
      </c>
      <c r="K3" t="s">
        <v>243</v>
      </c>
      <c r="L3" t="s">
        <v>244</v>
      </c>
    </row>
    <row r="4" spans="1:12" x14ac:dyDescent="0.25">
      <c r="A4" s="6" t="s">
        <v>13</v>
      </c>
      <c r="B4" s="8">
        <v>8</v>
      </c>
      <c r="C4" s="8"/>
      <c r="D4" s="6" t="s">
        <v>13</v>
      </c>
      <c r="E4" s="8">
        <v>19</v>
      </c>
      <c r="G4" s="6" t="s">
        <v>29</v>
      </c>
      <c r="H4" s="8">
        <v>5</v>
      </c>
      <c r="I4" s="8">
        <v>5</v>
      </c>
      <c r="J4" s="6" t="s">
        <v>29</v>
      </c>
      <c r="K4" s="8">
        <v>4</v>
      </c>
      <c r="L4" s="8">
        <v>4</v>
      </c>
    </row>
    <row r="5" spans="1:12" x14ac:dyDescent="0.25">
      <c r="A5" s="6" t="s">
        <v>20</v>
      </c>
      <c r="B5" s="8">
        <v>4</v>
      </c>
      <c r="C5" s="8"/>
      <c r="D5" s="6" t="s">
        <v>20</v>
      </c>
      <c r="E5" s="8">
        <v>10</v>
      </c>
      <c r="G5" s="6" t="s">
        <v>70</v>
      </c>
      <c r="H5" s="8">
        <v>3</v>
      </c>
      <c r="I5" s="8">
        <v>3</v>
      </c>
      <c r="J5" s="6" t="s">
        <v>72</v>
      </c>
      <c r="K5" s="8">
        <v>10</v>
      </c>
      <c r="L5" s="8">
        <v>10</v>
      </c>
    </row>
    <row r="6" spans="1:12" x14ac:dyDescent="0.25">
      <c r="A6" s="6" t="s">
        <v>24</v>
      </c>
      <c r="B6" s="8">
        <v>16</v>
      </c>
      <c r="C6" s="8"/>
      <c r="D6" s="6" t="s">
        <v>24</v>
      </c>
      <c r="E6" s="8">
        <v>18</v>
      </c>
      <c r="G6" s="6" t="s">
        <v>23</v>
      </c>
      <c r="H6" s="8">
        <v>3</v>
      </c>
      <c r="I6" s="8">
        <v>3</v>
      </c>
      <c r="J6" s="6" t="s">
        <v>70</v>
      </c>
      <c r="K6" s="8">
        <v>5</v>
      </c>
      <c r="L6" s="8">
        <v>5</v>
      </c>
    </row>
    <row r="7" spans="1:12" x14ac:dyDescent="0.25">
      <c r="A7" s="6" t="s">
        <v>30</v>
      </c>
      <c r="B7" s="8">
        <v>3</v>
      </c>
      <c r="C7" s="8"/>
      <c r="D7" s="6" t="s">
        <v>30</v>
      </c>
      <c r="E7" s="8">
        <v>18</v>
      </c>
      <c r="G7" s="6" t="s">
        <v>71</v>
      </c>
      <c r="H7" s="8">
        <v>2</v>
      </c>
      <c r="I7" s="8">
        <v>2</v>
      </c>
      <c r="J7" s="6" t="s">
        <v>73</v>
      </c>
      <c r="K7" s="8">
        <v>6</v>
      </c>
      <c r="L7" s="8">
        <v>6</v>
      </c>
    </row>
    <row r="8" spans="1:12" x14ac:dyDescent="0.25">
      <c r="A8" s="6" t="s">
        <v>241</v>
      </c>
      <c r="B8" s="8">
        <v>31</v>
      </c>
      <c r="C8" s="8"/>
      <c r="D8" s="6" t="s">
        <v>241</v>
      </c>
      <c r="E8" s="8">
        <v>65</v>
      </c>
      <c r="G8" s="6" t="s">
        <v>12</v>
      </c>
      <c r="H8" s="8">
        <v>3</v>
      </c>
      <c r="I8" s="8">
        <v>3</v>
      </c>
      <c r="J8" s="6" t="s">
        <v>23</v>
      </c>
      <c r="K8" s="8">
        <v>12</v>
      </c>
      <c r="L8" s="8">
        <v>12</v>
      </c>
    </row>
    <row r="9" spans="1:12" x14ac:dyDescent="0.25">
      <c r="G9" s="6" t="s">
        <v>19</v>
      </c>
      <c r="H9" s="8">
        <v>8</v>
      </c>
      <c r="I9" s="8">
        <v>8</v>
      </c>
      <c r="J9" s="6" t="s">
        <v>71</v>
      </c>
      <c r="K9" s="8">
        <v>8</v>
      </c>
      <c r="L9" s="8">
        <v>8</v>
      </c>
    </row>
    <row r="10" spans="1:12" x14ac:dyDescent="0.25">
      <c r="A10" s="5" t="s">
        <v>240</v>
      </c>
      <c r="B10" t="s">
        <v>244</v>
      </c>
      <c r="G10" s="6" t="s">
        <v>69</v>
      </c>
      <c r="H10" s="8">
        <v>7</v>
      </c>
      <c r="I10" s="8">
        <v>7</v>
      </c>
      <c r="J10" s="6" t="s">
        <v>12</v>
      </c>
      <c r="K10" s="8">
        <v>7</v>
      </c>
      <c r="L10" s="8">
        <v>7</v>
      </c>
    </row>
    <row r="11" spans="1:12" x14ac:dyDescent="0.25">
      <c r="A11" s="6" t="s">
        <v>17</v>
      </c>
      <c r="B11" s="8">
        <v>150</v>
      </c>
      <c r="G11" s="6" t="s">
        <v>241</v>
      </c>
      <c r="H11" s="8">
        <v>31</v>
      </c>
      <c r="I11" s="8">
        <v>31</v>
      </c>
      <c r="J11" s="6" t="s">
        <v>19</v>
      </c>
      <c r="K11" s="8">
        <v>6</v>
      </c>
      <c r="L11" s="8">
        <v>6</v>
      </c>
    </row>
    <row r="12" spans="1:12" x14ac:dyDescent="0.25">
      <c r="A12" s="6" t="s">
        <v>32</v>
      </c>
      <c r="B12" s="8">
        <v>31</v>
      </c>
      <c r="J12" s="6" t="s">
        <v>69</v>
      </c>
      <c r="K12" s="8">
        <v>7</v>
      </c>
      <c r="L12" s="8">
        <v>7</v>
      </c>
    </row>
    <row r="13" spans="1:12" x14ac:dyDescent="0.25">
      <c r="A13" s="6" t="s">
        <v>38</v>
      </c>
      <c r="B13" s="8">
        <v>19</v>
      </c>
      <c r="J13" s="6" t="s">
        <v>241</v>
      </c>
      <c r="K13" s="8">
        <v>65</v>
      </c>
      <c r="L13" s="8">
        <v>65</v>
      </c>
    </row>
    <row r="14" spans="1:12" x14ac:dyDescent="0.25">
      <c r="A14" s="6" t="s">
        <v>241</v>
      </c>
      <c r="B14" s="8">
        <v>200</v>
      </c>
    </row>
    <row r="16" spans="1:12" x14ac:dyDescent="0.25">
      <c r="A16" s="11" t="s">
        <v>2</v>
      </c>
      <c r="B16" s="11" t="s">
        <v>245</v>
      </c>
      <c r="C16" s="11" t="s">
        <v>247</v>
      </c>
      <c r="D16" s="11" t="s">
        <v>248</v>
      </c>
      <c r="G16" s="2" t="s">
        <v>1</v>
      </c>
      <c r="H16" s="2" t="s">
        <v>245</v>
      </c>
      <c r="I16" s="2" t="s">
        <v>246</v>
      </c>
    </row>
    <row r="17" spans="1:9" x14ac:dyDescent="0.25">
      <c r="A17" t="s">
        <v>13</v>
      </c>
      <c r="B17" s="9">
        <v>8</v>
      </c>
      <c r="C17" s="9">
        <v>19</v>
      </c>
      <c r="D17">
        <f>SUM(B17:C17)</f>
        <v>27</v>
      </c>
      <c r="G17" s="7" t="s">
        <v>29</v>
      </c>
      <c r="H17" s="9">
        <v>5</v>
      </c>
      <c r="I17" s="9">
        <v>4</v>
      </c>
    </row>
    <row r="18" spans="1:9" x14ac:dyDescent="0.25">
      <c r="A18" t="s">
        <v>20</v>
      </c>
      <c r="B18" s="9">
        <v>4</v>
      </c>
      <c r="C18" s="9">
        <v>10</v>
      </c>
      <c r="D18">
        <f>SUM(B18:C18)</f>
        <v>14</v>
      </c>
      <c r="G18" s="7" t="s">
        <v>72</v>
      </c>
      <c r="H18" s="9">
        <v>0</v>
      </c>
      <c r="I18" s="9">
        <v>10</v>
      </c>
    </row>
    <row r="19" spans="1:9" x14ac:dyDescent="0.25">
      <c r="A19" t="s">
        <v>24</v>
      </c>
      <c r="B19" s="9">
        <v>16</v>
      </c>
      <c r="C19" s="9">
        <v>18</v>
      </c>
      <c r="D19">
        <f>SUM(B19:C19)</f>
        <v>34</v>
      </c>
      <c r="G19" s="7" t="s">
        <v>70</v>
      </c>
      <c r="H19" s="9">
        <v>3</v>
      </c>
      <c r="I19" s="9">
        <v>5</v>
      </c>
    </row>
    <row r="20" spans="1:9" x14ac:dyDescent="0.25">
      <c r="A20" t="s">
        <v>30</v>
      </c>
      <c r="B20" s="9">
        <v>3</v>
      </c>
      <c r="C20" s="9">
        <v>18</v>
      </c>
      <c r="D20">
        <f>SUM(B20:C20)</f>
        <v>21</v>
      </c>
      <c r="G20" s="7" t="s">
        <v>73</v>
      </c>
      <c r="H20" s="9">
        <v>0</v>
      </c>
      <c r="I20" s="9">
        <v>6</v>
      </c>
    </row>
    <row r="21" spans="1:9" x14ac:dyDescent="0.25">
      <c r="G21" s="7" t="s">
        <v>23</v>
      </c>
      <c r="H21" s="9">
        <v>3</v>
      </c>
      <c r="I21" s="9">
        <v>12</v>
      </c>
    </row>
    <row r="22" spans="1:9" x14ac:dyDescent="0.25">
      <c r="G22" s="7" t="s">
        <v>71</v>
      </c>
      <c r="H22" s="9">
        <v>2</v>
      </c>
      <c r="I22" s="9">
        <v>8</v>
      </c>
    </row>
    <row r="23" spans="1:9" x14ac:dyDescent="0.25">
      <c r="G23" s="7" t="s">
        <v>12</v>
      </c>
      <c r="H23" s="9">
        <v>3</v>
      </c>
      <c r="I23" s="9">
        <v>7</v>
      </c>
    </row>
    <row r="24" spans="1:9" x14ac:dyDescent="0.25">
      <c r="G24" s="7" t="s">
        <v>19</v>
      </c>
      <c r="H24" s="9">
        <v>8</v>
      </c>
      <c r="I24" s="9">
        <v>6</v>
      </c>
    </row>
    <row r="25" spans="1:9" x14ac:dyDescent="0.25">
      <c r="G25" s="7" t="s">
        <v>69</v>
      </c>
      <c r="H25" s="9">
        <v>7</v>
      </c>
      <c r="I25" s="9">
        <v>7</v>
      </c>
    </row>
  </sheetData>
  <pageMargins left="0.7" right="0.7" top="0.75" bottom="0.75" header="0.3" footer="0.3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Data_Set</vt:lpstr>
      <vt:lpstr>QC_Data_Integrity_Dashboard</vt:lpstr>
      <vt:lpstr>Pivot_Tables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2026-03-22T16:31:46Z</dcterms:modified>
</cp:coreProperties>
</file>